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162db26b8a87ab/MATHEUS/matheusguimaraes/Projetos/precificacao ml/data/"/>
    </mc:Choice>
  </mc:AlternateContent>
  <xr:revisionPtr revIDLastSave="0" documentId="14_{F1F94883-8401-4C96-8C7E-0E12643612A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m_produtos" sheetId="7" r:id="rId1"/>
    <sheet name="fact_estoque" sheetId="8" r:id="rId2"/>
    <sheet name="fact_anuncios" sheetId="5" r:id="rId3"/>
  </sheets>
  <definedNames>
    <definedName name="DadosExternos_1" localSheetId="2" hidden="1">fact_anuncios!$A$1:$U$167</definedName>
    <definedName name="DadosExternos_2" localSheetId="1" hidden="1">fact_estoque!$A$1:$E$167</definedName>
    <definedName name="DadosExternos_3" localSheetId="0" hidden="1">dim_produtos!$B$1:$D$93</definedName>
    <definedName name="dim">#REF!</definedName>
    <definedName name="dim_produtos">dim_produtos_1[]</definedName>
    <definedName name="dimensao">#REF!</definedName>
    <definedName name="dimensão">dim_produtos_1[]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8" l="1"/>
  <c r="J33" i="5"/>
  <c r="R33" i="5" s="1"/>
  <c r="M33" i="5" s="1"/>
  <c r="P33" i="5" s="1"/>
  <c r="H33" i="5"/>
  <c r="J2" i="5"/>
  <c r="R2" i="5" s="1"/>
  <c r="M2" i="5" s="1"/>
  <c r="J3" i="5"/>
  <c r="J4" i="5"/>
  <c r="R4" i="5" s="1"/>
  <c r="M4" i="5" s="1"/>
  <c r="J5" i="5"/>
  <c r="R5" i="5" s="1"/>
  <c r="M5" i="5" s="1"/>
  <c r="H123" i="5"/>
  <c r="H124" i="5"/>
  <c r="H125" i="5"/>
  <c r="H126" i="5"/>
  <c r="H8" i="5"/>
  <c r="H9" i="5"/>
  <c r="H10" i="5"/>
  <c r="H11" i="5"/>
  <c r="H12" i="5"/>
  <c r="H13" i="5"/>
  <c r="H94" i="5"/>
  <c r="H95" i="5"/>
  <c r="H96" i="5"/>
  <c r="H97" i="5"/>
  <c r="H98" i="5"/>
  <c r="H165" i="5"/>
  <c r="H166" i="5"/>
  <c r="H147" i="5"/>
  <c r="H148" i="5"/>
  <c r="H149" i="5"/>
  <c r="H108" i="5"/>
  <c r="H109" i="5"/>
  <c r="H110" i="5"/>
  <c r="H111" i="5"/>
  <c r="H76" i="5"/>
  <c r="H77" i="5"/>
  <c r="H78" i="5"/>
  <c r="H79" i="5"/>
  <c r="H80" i="5"/>
  <c r="H81" i="5"/>
  <c r="H48" i="5"/>
  <c r="H116" i="5"/>
  <c r="H117" i="5"/>
  <c r="H6" i="5"/>
  <c r="H7" i="5"/>
  <c r="H156" i="5"/>
  <c r="H65" i="5"/>
  <c r="H99" i="5"/>
  <c r="H100" i="5"/>
  <c r="H101" i="5"/>
  <c r="H159" i="5"/>
  <c r="H69" i="5"/>
  <c r="H27" i="5"/>
  <c r="H121" i="5"/>
  <c r="H119" i="5"/>
  <c r="H105" i="5"/>
  <c r="H67" i="5"/>
  <c r="H107" i="5"/>
  <c r="H144" i="5"/>
  <c r="H160" i="5"/>
  <c r="H161" i="5"/>
  <c r="H141" i="5"/>
  <c r="H142" i="5"/>
  <c r="H143" i="5"/>
  <c r="H51" i="5"/>
  <c r="H52" i="5"/>
  <c r="H53" i="5"/>
  <c r="H162" i="5"/>
  <c r="H163" i="5"/>
  <c r="H164" i="5"/>
  <c r="H21" i="5"/>
  <c r="H22" i="5"/>
  <c r="H23" i="5"/>
  <c r="H47" i="5"/>
  <c r="H66" i="5"/>
  <c r="H49" i="5"/>
  <c r="H102" i="5"/>
  <c r="H68" i="5"/>
  <c r="H59" i="5"/>
  <c r="H20" i="5"/>
  <c r="H83" i="5"/>
  <c r="H84" i="5"/>
  <c r="H85" i="5"/>
  <c r="H86" i="5"/>
  <c r="H87" i="5"/>
  <c r="H88" i="5"/>
  <c r="H89" i="5"/>
  <c r="H90" i="5"/>
  <c r="H91" i="5"/>
  <c r="H92" i="5"/>
  <c r="H93" i="5"/>
  <c r="H24" i="5"/>
  <c r="H114" i="5"/>
  <c r="H25" i="5"/>
  <c r="H39" i="5"/>
  <c r="H40" i="5"/>
  <c r="H41" i="5"/>
  <c r="H103" i="5"/>
  <c r="H104" i="5"/>
  <c r="H130" i="5"/>
  <c r="H131" i="5"/>
  <c r="H132" i="5"/>
  <c r="H150" i="5"/>
  <c r="H151" i="5"/>
  <c r="H72" i="5"/>
  <c r="H73" i="5"/>
  <c r="H106" i="5"/>
  <c r="H128" i="5"/>
  <c r="H61" i="5"/>
  <c r="H62" i="5"/>
  <c r="H18" i="5"/>
  <c r="H19" i="5"/>
  <c r="H2" i="5"/>
  <c r="H3" i="5"/>
  <c r="H4" i="5"/>
  <c r="H5" i="5"/>
  <c r="H28" i="5"/>
  <c r="H29" i="5"/>
  <c r="H30" i="5"/>
  <c r="H112" i="5"/>
  <c r="H113" i="5"/>
  <c r="H74" i="5"/>
  <c r="H75" i="5"/>
  <c r="H139" i="5"/>
  <c r="H140" i="5"/>
  <c r="H14" i="5"/>
  <c r="H15" i="5"/>
  <c r="H16" i="5"/>
  <c r="H17" i="5"/>
  <c r="H70" i="5"/>
  <c r="H71" i="5"/>
  <c r="H31" i="5"/>
  <c r="H32" i="5"/>
  <c r="H26" i="5"/>
  <c r="H157" i="5"/>
  <c r="H158" i="5"/>
  <c r="H35" i="5"/>
  <c r="H36" i="5"/>
  <c r="H37" i="5"/>
  <c r="H38" i="5"/>
  <c r="H134" i="5"/>
  <c r="H135" i="5"/>
  <c r="H136" i="5"/>
  <c r="H137" i="5"/>
  <c r="H34" i="5"/>
  <c r="H50" i="5"/>
  <c r="H44" i="5"/>
  <c r="H45" i="5"/>
  <c r="H46" i="5"/>
  <c r="H152" i="5"/>
  <c r="H153" i="5"/>
  <c r="H154" i="5"/>
  <c r="H155" i="5"/>
  <c r="H54" i="5"/>
  <c r="H55" i="5"/>
  <c r="H56" i="5"/>
  <c r="H57" i="5"/>
  <c r="H58" i="5"/>
  <c r="H43" i="5"/>
  <c r="H138" i="5"/>
  <c r="H63" i="5"/>
  <c r="H64" i="5"/>
  <c r="H120" i="5"/>
  <c r="H167" i="5"/>
  <c r="H145" i="5"/>
  <c r="H133" i="5"/>
  <c r="H115" i="5"/>
  <c r="H118" i="5"/>
  <c r="H129" i="5"/>
  <c r="H42" i="5"/>
  <c r="H127" i="5"/>
  <c r="H146" i="5"/>
  <c r="H60" i="5"/>
  <c r="H82" i="5"/>
  <c r="H122" i="5"/>
  <c r="G123" i="5"/>
  <c r="J123" i="5" s="1"/>
  <c r="S123" i="5" s="1"/>
  <c r="T123" i="5" s="1"/>
  <c r="G124" i="5"/>
  <c r="J124" i="5" s="1"/>
  <c r="S124" i="5" s="1"/>
  <c r="T124" i="5" s="1"/>
  <c r="G125" i="5"/>
  <c r="J125" i="5" s="1"/>
  <c r="S125" i="5" s="1"/>
  <c r="T125" i="5" s="1"/>
  <c r="G126" i="5"/>
  <c r="J126" i="5" s="1"/>
  <c r="S126" i="5" s="1"/>
  <c r="T126" i="5" s="1"/>
  <c r="G8" i="5"/>
  <c r="J8" i="5" s="1"/>
  <c r="S8" i="5" s="1"/>
  <c r="T8" i="5" s="1"/>
  <c r="G9" i="5"/>
  <c r="J9" i="5" s="1"/>
  <c r="S9" i="5" s="1"/>
  <c r="T9" i="5" s="1"/>
  <c r="G10" i="5"/>
  <c r="J10" i="5" s="1"/>
  <c r="G11" i="5"/>
  <c r="J11" i="5" s="1"/>
  <c r="G12" i="5"/>
  <c r="J12" i="5" s="1"/>
  <c r="G13" i="5"/>
  <c r="J13" i="5" s="1"/>
  <c r="G94" i="5"/>
  <c r="J94" i="5" s="1"/>
  <c r="R94" i="5" s="1"/>
  <c r="M94" i="5" s="1"/>
  <c r="G95" i="5"/>
  <c r="J95" i="5" s="1"/>
  <c r="S95" i="5" s="1"/>
  <c r="T95" i="5" s="1"/>
  <c r="G96" i="5"/>
  <c r="J96" i="5" s="1"/>
  <c r="R96" i="5" s="1"/>
  <c r="M96" i="5" s="1"/>
  <c r="G97" i="5"/>
  <c r="J97" i="5" s="1"/>
  <c r="S97" i="5" s="1"/>
  <c r="T97" i="5" s="1"/>
  <c r="G98" i="5"/>
  <c r="J98" i="5" s="1"/>
  <c r="S98" i="5" s="1"/>
  <c r="T98" i="5" s="1"/>
  <c r="G165" i="5"/>
  <c r="J165" i="5" s="1"/>
  <c r="S165" i="5" s="1"/>
  <c r="T165" i="5" s="1"/>
  <c r="G166" i="5"/>
  <c r="J166" i="5" s="1"/>
  <c r="R166" i="5" s="1"/>
  <c r="M166" i="5" s="1"/>
  <c r="G147" i="5"/>
  <c r="J147" i="5" s="1"/>
  <c r="S147" i="5" s="1"/>
  <c r="T147" i="5" s="1"/>
  <c r="G148" i="5"/>
  <c r="J148" i="5" s="1"/>
  <c r="G149" i="5"/>
  <c r="J149" i="5" s="1"/>
  <c r="G108" i="5"/>
  <c r="J108" i="5" s="1"/>
  <c r="G109" i="5"/>
  <c r="J109" i="5" s="1"/>
  <c r="G110" i="5"/>
  <c r="J110" i="5" s="1"/>
  <c r="G111" i="5"/>
  <c r="J111" i="5" s="1"/>
  <c r="R111" i="5" s="1"/>
  <c r="M111" i="5" s="1"/>
  <c r="G76" i="5"/>
  <c r="J76" i="5" s="1"/>
  <c r="R76" i="5" s="1"/>
  <c r="M76" i="5" s="1"/>
  <c r="G77" i="5"/>
  <c r="J77" i="5" s="1"/>
  <c r="S77" i="5" s="1"/>
  <c r="T77" i="5" s="1"/>
  <c r="G78" i="5"/>
  <c r="J78" i="5" s="1"/>
  <c r="S78" i="5" s="1"/>
  <c r="T78" i="5" s="1"/>
  <c r="G79" i="5"/>
  <c r="J79" i="5" s="1"/>
  <c r="S79" i="5" s="1"/>
  <c r="T79" i="5" s="1"/>
  <c r="G80" i="5"/>
  <c r="J80" i="5" s="1"/>
  <c r="S80" i="5" s="1"/>
  <c r="T80" i="5" s="1"/>
  <c r="G81" i="5"/>
  <c r="J81" i="5" s="1"/>
  <c r="S81" i="5" s="1"/>
  <c r="T81" i="5" s="1"/>
  <c r="G48" i="5"/>
  <c r="J48" i="5" s="1"/>
  <c r="G116" i="5"/>
  <c r="J116" i="5" s="1"/>
  <c r="G117" i="5"/>
  <c r="J117" i="5" s="1"/>
  <c r="G6" i="5"/>
  <c r="J6" i="5" s="1"/>
  <c r="G7" i="5"/>
  <c r="J7" i="5" s="1"/>
  <c r="R7" i="5" s="1"/>
  <c r="M7" i="5" s="1"/>
  <c r="G156" i="5"/>
  <c r="J156" i="5" s="1"/>
  <c r="G65" i="5"/>
  <c r="J65" i="5" s="1"/>
  <c r="R65" i="5" s="1"/>
  <c r="M65" i="5" s="1"/>
  <c r="G99" i="5"/>
  <c r="J99" i="5" s="1"/>
  <c r="S99" i="5" s="1"/>
  <c r="T99" i="5" s="1"/>
  <c r="G100" i="5"/>
  <c r="J100" i="5" s="1"/>
  <c r="S100" i="5" s="1"/>
  <c r="T100" i="5" s="1"/>
  <c r="G101" i="5"/>
  <c r="J101" i="5" s="1"/>
  <c r="S101" i="5" s="1"/>
  <c r="T101" i="5" s="1"/>
  <c r="G159" i="5"/>
  <c r="J159" i="5" s="1"/>
  <c r="S159" i="5" s="1"/>
  <c r="T159" i="5" s="1"/>
  <c r="G69" i="5"/>
  <c r="J69" i="5" s="1"/>
  <c r="S69" i="5" s="1"/>
  <c r="T69" i="5" s="1"/>
  <c r="G27" i="5"/>
  <c r="J27" i="5" s="1"/>
  <c r="G121" i="5"/>
  <c r="J121" i="5" s="1"/>
  <c r="G119" i="5"/>
  <c r="J119" i="5" s="1"/>
  <c r="G105" i="5"/>
  <c r="J105" i="5" s="1"/>
  <c r="G67" i="5"/>
  <c r="J67" i="5" s="1"/>
  <c r="G107" i="5"/>
  <c r="J107" i="5" s="1"/>
  <c r="R107" i="5" s="1"/>
  <c r="M107" i="5" s="1"/>
  <c r="G144" i="5"/>
  <c r="J144" i="5" s="1"/>
  <c r="R144" i="5" s="1"/>
  <c r="M144" i="5" s="1"/>
  <c r="Q144" i="5" s="1"/>
  <c r="G160" i="5"/>
  <c r="J160" i="5" s="1"/>
  <c r="S160" i="5" s="1"/>
  <c r="T160" i="5" s="1"/>
  <c r="G161" i="5"/>
  <c r="J161" i="5" s="1"/>
  <c r="S161" i="5" s="1"/>
  <c r="T161" i="5" s="1"/>
  <c r="G141" i="5"/>
  <c r="J141" i="5" s="1"/>
  <c r="S141" i="5" s="1"/>
  <c r="T141" i="5" s="1"/>
  <c r="G142" i="5"/>
  <c r="J142" i="5" s="1"/>
  <c r="S142" i="5" s="1"/>
  <c r="T142" i="5" s="1"/>
  <c r="G143" i="5"/>
  <c r="J143" i="5" s="1"/>
  <c r="S143" i="5" s="1"/>
  <c r="T143" i="5" s="1"/>
  <c r="G51" i="5"/>
  <c r="J51" i="5" s="1"/>
  <c r="R51" i="5" s="1"/>
  <c r="M51" i="5" s="1"/>
  <c r="G52" i="5"/>
  <c r="J52" i="5" s="1"/>
  <c r="R52" i="5" s="1"/>
  <c r="M52" i="5" s="1"/>
  <c r="G53" i="5"/>
  <c r="J53" i="5" s="1"/>
  <c r="R53" i="5" s="1"/>
  <c r="M53" i="5" s="1"/>
  <c r="Q53" i="5" s="1"/>
  <c r="G162" i="5"/>
  <c r="J162" i="5" s="1"/>
  <c r="G163" i="5"/>
  <c r="J163" i="5" s="1"/>
  <c r="G164" i="5"/>
  <c r="J164" i="5" s="1"/>
  <c r="G21" i="5"/>
  <c r="J21" i="5" s="1"/>
  <c r="R21" i="5" s="1"/>
  <c r="M21" i="5" s="1"/>
  <c r="Q21" i="5" s="1"/>
  <c r="G22" i="5"/>
  <c r="J22" i="5" s="1"/>
  <c r="S22" i="5" s="1"/>
  <c r="T22" i="5" s="1"/>
  <c r="G23" i="5"/>
  <c r="J23" i="5" s="1"/>
  <c r="S23" i="5" s="1"/>
  <c r="T23" i="5" s="1"/>
  <c r="G47" i="5"/>
  <c r="J47" i="5" s="1"/>
  <c r="S47" i="5" s="1"/>
  <c r="T47" i="5" s="1"/>
  <c r="G66" i="5"/>
  <c r="J66" i="5" s="1"/>
  <c r="R66" i="5" s="1"/>
  <c r="M66" i="5" s="1"/>
  <c r="G49" i="5"/>
  <c r="J49" i="5" s="1"/>
  <c r="S49" i="5" s="1"/>
  <c r="T49" i="5" s="1"/>
  <c r="G102" i="5"/>
  <c r="J102" i="5" s="1"/>
  <c r="G68" i="5"/>
  <c r="J68" i="5" s="1"/>
  <c r="G59" i="5"/>
  <c r="J59" i="5" s="1"/>
  <c r="G20" i="5"/>
  <c r="J20" i="5" s="1"/>
  <c r="G83" i="5"/>
  <c r="J83" i="5" s="1"/>
  <c r="G84" i="5"/>
  <c r="J84" i="5" s="1"/>
  <c r="R84" i="5" s="1"/>
  <c r="M84" i="5" s="1"/>
  <c r="G85" i="5"/>
  <c r="J85" i="5" s="1"/>
  <c r="R85" i="5" s="1"/>
  <c r="M85" i="5" s="1"/>
  <c r="G86" i="5"/>
  <c r="J86" i="5" s="1"/>
  <c r="S86" i="5" s="1"/>
  <c r="T86" i="5" s="1"/>
  <c r="G87" i="5"/>
  <c r="J87" i="5" s="1"/>
  <c r="S87" i="5" s="1"/>
  <c r="T87" i="5" s="1"/>
  <c r="G88" i="5"/>
  <c r="J88" i="5" s="1"/>
  <c r="S88" i="5" s="1"/>
  <c r="T88" i="5" s="1"/>
  <c r="G89" i="5"/>
  <c r="J89" i="5" s="1"/>
  <c r="S89" i="5" s="1"/>
  <c r="T89" i="5" s="1"/>
  <c r="G90" i="5"/>
  <c r="J90" i="5" s="1"/>
  <c r="S90" i="5" s="1"/>
  <c r="T90" i="5" s="1"/>
  <c r="G91" i="5"/>
  <c r="J91" i="5" s="1"/>
  <c r="G92" i="5"/>
  <c r="J92" i="5" s="1"/>
  <c r="G93" i="5"/>
  <c r="J93" i="5" s="1"/>
  <c r="G24" i="5"/>
  <c r="J24" i="5" s="1"/>
  <c r="G114" i="5"/>
  <c r="J114" i="5" s="1"/>
  <c r="G25" i="5"/>
  <c r="J25" i="5" s="1"/>
  <c r="G39" i="5"/>
  <c r="J39" i="5" s="1"/>
  <c r="S39" i="5" s="1"/>
  <c r="T39" i="5" s="1"/>
  <c r="G40" i="5"/>
  <c r="J40" i="5" s="1"/>
  <c r="S40" i="5" s="1"/>
  <c r="T40" i="5" s="1"/>
  <c r="G41" i="5"/>
  <c r="J41" i="5" s="1"/>
  <c r="S41" i="5" s="1"/>
  <c r="T41" i="5" s="1"/>
  <c r="G103" i="5"/>
  <c r="J103" i="5" s="1"/>
  <c r="S103" i="5" s="1"/>
  <c r="T103" i="5" s="1"/>
  <c r="G104" i="5"/>
  <c r="J104" i="5" s="1"/>
  <c r="R104" i="5" s="1"/>
  <c r="M104" i="5" s="1"/>
  <c r="Q104" i="5" s="1"/>
  <c r="G130" i="5"/>
  <c r="J130" i="5" s="1"/>
  <c r="S130" i="5" s="1"/>
  <c r="T130" i="5" s="1"/>
  <c r="G131" i="5"/>
  <c r="J131" i="5" s="1"/>
  <c r="R131" i="5" s="1"/>
  <c r="M131" i="5" s="1"/>
  <c r="G132" i="5"/>
  <c r="J132" i="5" s="1"/>
  <c r="R132" i="5" s="1"/>
  <c r="M132" i="5" s="1"/>
  <c r="G150" i="5"/>
  <c r="J150" i="5" s="1"/>
  <c r="R150" i="5" s="1"/>
  <c r="M150" i="5" s="1"/>
  <c r="Q150" i="5" s="1"/>
  <c r="G151" i="5"/>
  <c r="J151" i="5" s="1"/>
  <c r="G72" i="5"/>
  <c r="J72" i="5" s="1"/>
  <c r="G73" i="5"/>
  <c r="J73" i="5" s="1"/>
  <c r="R73" i="5" s="1"/>
  <c r="M73" i="5" s="1"/>
  <c r="G106" i="5"/>
  <c r="J106" i="5" s="1"/>
  <c r="R106" i="5" s="1"/>
  <c r="M106" i="5" s="1"/>
  <c r="G128" i="5"/>
  <c r="J128" i="5" s="1"/>
  <c r="S128" i="5" s="1"/>
  <c r="T128" i="5" s="1"/>
  <c r="G61" i="5"/>
  <c r="J61" i="5" s="1"/>
  <c r="S61" i="5" s="1"/>
  <c r="T61" i="5" s="1"/>
  <c r="G62" i="5"/>
  <c r="J62" i="5" s="1"/>
  <c r="S62" i="5" s="1"/>
  <c r="T62" i="5" s="1"/>
  <c r="G18" i="5"/>
  <c r="J18" i="5" s="1"/>
  <c r="R18" i="5" s="1"/>
  <c r="M18" i="5" s="1"/>
  <c r="G19" i="5"/>
  <c r="J19" i="5" s="1"/>
  <c r="S19" i="5" s="1"/>
  <c r="T19" i="5" s="1"/>
  <c r="G28" i="5"/>
  <c r="J28" i="5" s="1"/>
  <c r="G29" i="5"/>
  <c r="J29" i="5" s="1"/>
  <c r="S29" i="5" s="1"/>
  <c r="T29" i="5" s="1"/>
  <c r="G30" i="5"/>
  <c r="J30" i="5" s="1"/>
  <c r="R30" i="5" s="1"/>
  <c r="M30" i="5" s="1"/>
  <c r="G112" i="5"/>
  <c r="J112" i="5" s="1"/>
  <c r="R112" i="5" s="1"/>
  <c r="M112" i="5" s="1"/>
  <c r="G113" i="5"/>
  <c r="J113" i="5" s="1"/>
  <c r="S113" i="5" s="1"/>
  <c r="T113" i="5" s="1"/>
  <c r="G74" i="5"/>
  <c r="J74" i="5" s="1"/>
  <c r="S74" i="5" s="1"/>
  <c r="T74" i="5" s="1"/>
  <c r="G75" i="5"/>
  <c r="J75" i="5" s="1"/>
  <c r="S75" i="5" s="1"/>
  <c r="T75" i="5" s="1"/>
  <c r="G139" i="5"/>
  <c r="J139" i="5" s="1"/>
  <c r="S139" i="5" s="1"/>
  <c r="T139" i="5" s="1"/>
  <c r="G140" i="5"/>
  <c r="J140" i="5" s="1"/>
  <c r="G14" i="5"/>
  <c r="J14" i="5" s="1"/>
  <c r="G15" i="5"/>
  <c r="J15" i="5" s="1"/>
  <c r="G16" i="5"/>
  <c r="J16" i="5" s="1"/>
  <c r="G17" i="5"/>
  <c r="J17" i="5" s="1"/>
  <c r="G70" i="5"/>
  <c r="J70" i="5" s="1"/>
  <c r="G71" i="5"/>
  <c r="J71" i="5" s="1"/>
  <c r="G31" i="5"/>
  <c r="J31" i="5" s="1"/>
  <c r="G32" i="5"/>
  <c r="J32" i="5" s="1"/>
  <c r="S32" i="5" s="1"/>
  <c r="T32" i="5" s="1"/>
  <c r="G26" i="5"/>
  <c r="J26" i="5" s="1"/>
  <c r="S26" i="5" s="1"/>
  <c r="T26" i="5" s="1"/>
  <c r="G157" i="5"/>
  <c r="J157" i="5" s="1"/>
  <c r="S157" i="5" s="1"/>
  <c r="T157" i="5" s="1"/>
  <c r="G158" i="5"/>
  <c r="J158" i="5" s="1"/>
  <c r="R158" i="5" s="1"/>
  <c r="M158" i="5" s="1"/>
  <c r="Q158" i="5" s="1"/>
  <c r="G35" i="5"/>
  <c r="J35" i="5" s="1"/>
  <c r="S35" i="5" s="1"/>
  <c r="T35" i="5" s="1"/>
  <c r="G36" i="5"/>
  <c r="J36" i="5" s="1"/>
  <c r="S36" i="5" s="1"/>
  <c r="T36" i="5" s="1"/>
  <c r="G37" i="5"/>
  <c r="J37" i="5" s="1"/>
  <c r="R37" i="5" s="1"/>
  <c r="M37" i="5" s="1"/>
  <c r="G38" i="5"/>
  <c r="J38" i="5" s="1"/>
  <c r="R38" i="5" s="1"/>
  <c r="M38" i="5" s="1"/>
  <c r="G134" i="5"/>
  <c r="J134" i="5" s="1"/>
  <c r="G135" i="5"/>
  <c r="J135" i="5" s="1"/>
  <c r="G136" i="5"/>
  <c r="J136" i="5" s="1"/>
  <c r="G137" i="5"/>
  <c r="J137" i="5" s="1"/>
  <c r="G34" i="5"/>
  <c r="J34" i="5" s="1"/>
  <c r="S34" i="5" s="1"/>
  <c r="T34" i="5" s="1"/>
  <c r="G50" i="5"/>
  <c r="J50" i="5" s="1"/>
  <c r="S50" i="5" s="1"/>
  <c r="T50" i="5" s="1"/>
  <c r="G44" i="5"/>
  <c r="J44" i="5" s="1"/>
  <c r="S44" i="5" s="1"/>
  <c r="T44" i="5" s="1"/>
  <c r="G45" i="5"/>
  <c r="J45" i="5" s="1"/>
  <c r="S45" i="5" s="1"/>
  <c r="T45" i="5" s="1"/>
  <c r="G46" i="5"/>
  <c r="J46" i="5" s="1"/>
  <c r="G152" i="5"/>
  <c r="J152" i="5" s="1"/>
  <c r="G153" i="5"/>
  <c r="J153" i="5" s="1"/>
  <c r="G154" i="5"/>
  <c r="J154" i="5" s="1"/>
  <c r="G155" i="5"/>
  <c r="J155" i="5" s="1"/>
  <c r="G54" i="5"/>
  <c r="J54" i="5" s="1"/>
  <c r="S54" i="5" s="1"/>
  <c r="T54" i="5" s="1"/>
  <c r="G55" i="5"/>
  <c r="J55" i="5" s="1"/>
  <c r="R55" i="5" s="1"/>
  <c r="M55" i="5" s="1"/>
  <c r="P55" i="5" s="1"/>
  <c r="G56" i="5"/>
  <c r="J56" i="5" s="1"/>
  <c r="R56" i="5" s="1"/>
  <c r="M56" i="5" s="1"/>
  <c r="G57" i="5"/>
  <c r="J57" i="5" s="1"/>
  <c r="S57" i="5" s="1"/>
  <c r="T57" i="5" s="1"/>
  <c r="G58" i="5"/>
  <c r="J58" i="5" s="1"/>
  <c r="S58" i="5" s="1"/>
  <c r="T58" i="5" s="1"/>
  <c r="G43" i="5"/>
  <c r="J43" i="5" s="1"/>
  <c r="S43" i="5" s="1"/>
  <c r="T43" i="5" s="1"/>
  <c r="G138" i="5"/>
  <c r="J138" i="5" s="1"/>
  <c r="S138" i="5" s="1"/>
  <c r="T138" i="5" s="1"/>
  <c r="G63" i="5"/>
  <c r="J63" i="5" s="1"/>
  <c r="G64" i="5"/>
  <c r="J64" i="5" s="1"/>
  <c r="G120" i="5"/>
  <c r="J120" i="5" s="1"/>
  <c r="G167" i="5"/>
  <c r="J167" i="5" s="1"/>
  <c r="G145" i="5"/>
  <c r="J145" i="5" s="1"/>
  <c r="G133" i="5"/>
  <c r="J133" i="5" s="1"/>
  <c r="G115" i="5"/>
  <c r="J115" i="5" s="1"/>
  <c r="G118" i="5"/>
  <c r="J118" i="5" s="1"/>
  <c r="G129" i="5"/>
  <c r="J129" i="5" s="1"/>
  <c r="S129" i="5" s="1"/>
  <c r="T129" i="5" s="1"/>
  <c r="G42" i="5"/>
  <c r="J42" i="5" s="1"/>
  <c r="S42" i="5" s="1"/>
  <c r="T42" i="5" s="1"/>
  <c r="G127" i="5"/>
  <c r="J127" i="5" s="1"/>
  <c r="S127" i="5" s="1"/>
  <c r="T127" i="5" s="1"/>
  <c r="G146" i="5"/>
  <c r="J146" i="5" s="1"/>
  <c r="S146" i="5" s="1"/>
  <c r="T146" i="5" s="1"/>
  <c r="G60" i="5"/>
  <c r="J60" i="5" s="1"/>
  <c r="S60" i="5" s="1"/>
  <c r="T60" i="5" s="1"/>
  <c r="G82" i="5"/>
  <c r="J82" i="5" s="1"/>
  <c r="R82" i="5" s="1"/>
  <c r="M82" i="5" s="1"/>
  <c r="G122" i="5"/>
  <c r="J122" i="5" s="1"/>
  <c r="E123" i="8"/>
  <c r="G123" i="8" s="1"/>
  <c r="E124" i="8"/>
  <c r="G124" i="8" s="1"/>
  <c r="E125" i="8"/>
  <c r="G125" i="8" s="1"/>
  <c r="E126" i="8"/>
  <c r="G126" i="8" s="1"/>
  <c r="E8" i="8"/>
  <c r="G8" i="8" s="1"/>
  <c r="E9" i="8"/>
  <c r="G9" i="8" s="1"/>
  <c r="E10" i="8"/>
  <c r="G10" i="8" s="1"/>
  <c r="E11" i="8"/>
  <c r="G11" i="8" s="1"/>
  <c r="E12" i="8"/>
  <c r="G12" i="8" s="1"/>
  <c r="E13" i="8"/>
  <c r="G13" i="8" s="1"/>
  <c r="E94" i="8"/>
  <c r="G94" i="8" s="1"/>
  <c r="E95" i="8"/>
  <c r="G95" i="8" s="1"/>
  <c r="E96" i="8"/>
  <c r="G96" i="8" s="1"/>
  <c r="E97" i="8"/>
  <c r="G97" i="8" s="1"/>
  <c r="E98" i="8"/>
  <c r="G98" i="8" s="1"/>
  <c r="E165" i="8"/>
  <c r="G165" i="8" s="1"/>
  <c r="E166" i="8"/>
  <c r="G166" i="8" s="1"/>
  <c r="E147" i="8"/>
  <c r="G147" i="8" s="1"/>
  <c r="E148" i="8"/>
  <c r="G148" i="8" s="1"/>
  <c r="E149" i="8"/>
  <c r="G149" i="8" s="1"/>
  <c r="E108" i="8"/>
  <c r="G108" i="8" s="1"/>
  <c r="E109" i="8"/>
  <c r="G109" i="8" s="1"/>
  <c r="E110" i="8"/>
  <c r="G110" i="8" s="1"/>
  <c r="E111" i="8"/>
  <c r="G111" i="8" s="1"/>
  <c r="E76" i="8"/>
  <c r="G76" i="8" s="1"/>
  <c r="E77" i="8"/>
  <c r="G77" i="8" s="1"/>
  <c r="E78" i="8"/>
  <c r="G78" i="8" s="1"/>
  <c r="E79" i="8"/>
  <c r="G79" i="8" s="1"/>
  <c r="E80" i="8"/>
  <c r="G80" i="8" s="1"/>
  <c r="E81" i="8"/>
  <c r="G81" i="8" s="1"/>
  <c r="E48" i="8"/>
  <c r="G48" i="8" s="1"/>
  <c r="E116" i="8"/>
  <c r="G116" i="8" s="1"/>
  <c r="E117" i="8"/>
  <c r="G117" i="8" s="1"/>
  <c r="E6" i="8"/>
  <c r="G6" i="8" s="1"/>
  <c r="E7" i="8"/>
  <c r="G7" i="8" s="1"/>
  <c r="E156" i="8"/>
  <c r="G156" i="8" s="1"/>
  <c r="E65" i="8"/>
  <c r="G65" i="8" s="1"/>
  <c r="E99" i="8"/>
  <c r="G99" i="8" s="1"/>
  <c r="E100" i="8"/>
  <c r="G100" i="8" s="1"/>
  <c r="E101" i="8"/>
  <c r="G101" i="8" s="1"/>
  <c r="E159" i="8"/>
  <c r="G159" i="8" s="1"/>
  <c r="E69" i="8"/>
  <c r="G69" i="8" s="1"/>
  <c r="E27" i="8"/>
  <c r="G27" i="8" s="1"/>
  <c r="E121" i="8"/>
  <c r="G121" i="8" s="1"/>
  <c r="E119" i="8"/>
  <c r="G119" i="8" s="1"/>
  <c r="E105" i="8"/>
  <c r="G105" i="8" s="1"/>
  <c r="E67" i="8"/>
  <c r="G67" i="8" s="1"/>
  <c r="E107" i="8"/>
  <c r="G107" i="8" s="1"/>
  <c r="E144" i="8"/>
  <c r="G144" i="8" s="1"/>
  <c r="E160" i="8"/>
  <c r="G160" i="8" s="1"/>
  <c r="E161" i="8"/>
  <c r="G161" i="8" s="1"/>
  <c r="E141" i="8"/>
  <c r="G141" i="8" s="1"/>
  <c r="E142" i="8"/>
  <c r="G142" i="8" s="1"/>
  <c r="E143" i="8"/>
  <c r="G143" i="8" s="1"/>
  <c r="E51" i="8"/>
  <c r="G51" i="8" s="1"/>
  <c r="E52" i="8"/>
  <c r="G52" i="8" s="1"/>
  <c r="E53" i="8"/>
  <c r="G53" i="8" s="1"/>
  <c r="E162" i="8"/>
  <c r="G162" i="8" s="1"/>
  <c r="E163" i="8"/>
  <c r="G163" i="8" s="1"/>
  <c r="E164" i="8"/>
  <c r="G164" i="8" s="1"/>
  <c r="E21" i="8"/>
  <c r="G21" i="8" s="1"/>
  <c r="E22" i="8"/>
  <c r="G22" i="8" s="1"/>
  <c r="E23" i="8"/>
  <c r="G23" i="8" s="1"/>
  <c r="E47" i="8"/>
  <c r="G47" i="8" s="1"/>
  <c r="E66" i="8"/>
  <c r="G66" i="8" s="1"/>
  <c r="E49" i="8"/>
  <c r="G49" i="8" s="1"/>
  <c r="E102" i="8"/>
  <c r="G102" i="8" s="1"/>
  <c r="E68" i="8"/>
  <c r="G68" i="8" s="1"/>
  <c r="E59" i="8"/>
  <c r="G59" i="8" s="1"/>
  <c r="E20" i="8"/>
  <c r="G20" i="8" s="1"/>
  <c r="E83" i="8"/>
  <c r="G83" i="8" s="1"/>
  <c r="E84" i="8"/>
  <c r="G84" i="8" s="1"/>
  <c r="E85" i="8"/>
  <c r="G85" i="8" s="1"/>
  <c r="E86" i="8"/>
  <c r="G86" i="8" s="1"/>
  <c r="E87" i="8"/>
  <c r="G87" i="8" s="1"/>
  <c r="E88" i="8"/>
  <c r="G88" i="8" s="1"/>
  <c r="E89" i="8"/>
  <c r="G89" i="8" s="1"/>
  <c r="E90" i="8"/>
  <c r="G90" i="8" s="1"/>
  <c r="E91" i="8"/>
  <c r="G91" i="8" s="1"/>
  <c r="E92" i="8"/>
  <c r="G92" i="8" s="1"/>
  <c r="E93" i="8"/>
  <c r="G93" i="8" s="1"/>
  <c r="E24" i="8"/>
  <c r="G24" i="8" s="1"/>
  <c r="E114" i="8"/>
  <c r="G114" i="8" s="1"/>
  <c r="E25" i="8"/>
  <c r="G25" i="8" s="1"/>
  <c r="E39" i="8"/>
  <c r="G39" i="8" s="1"/>
  <c r="E40" i="8"/>
  <c r="G40" i="8" s="1"/>
  <c r="E41" i="8"/>
  <c r="G41" i="8" s="1"/>
  <c r="E103" i="8"/>
  <c r="G103" i="8" s="1"/>
  <c r="E104" i="8"/>
  <c r="G104" i="8" s="1"/>
  <c r="E130" i="8"/>
  <c r="G130" i="8" s="1"/>
  <c r="E131" i="8"/>
  <c r="G131" i="8" s="1"/>
  <c r="E132" i="8"/>
  <c r="G132" i="8" s="1"/>
  <c r="E150" i="8"/>
  <c r="G150" i="8" s="1"/>
  <c r="E151" i="8"/>
  <c r="G151" i="8" s="1"/>
  <c r="E72" i="8"/>
  <c r="G72" i="8" s="1"/>
  <c r="E73" i="8"/>
  <c r="G73" i="8" s="1"/>
  <c r="E106" i="8"/>
  <c r="G106" i="8" s="1"/>
  <c r="E128" i="8"/>
  <c r="G128" i="8" s="1"/>
  <c r="E61" i="8"/>
  <c r="G61" i="8" s="1"/>
  <c r="E62" i="8"/>
  <c r="G62" i="8" s="1"/>
  <c r="E18" i="8"/>
  <c r="G18" i="8" s="1"/>
  <c r="E19" i="8"/>
  <c r="G19" i="8" s="1"/>
  <c r="E2" i="8"/>
  <c r="G2" i="8" s="1"/>
  <c r="E3" i="8"/>
  <c r="G3" i="8" s="1"/>
  <c r="E4" i="8"/>
  <c r="G4" i="8" s="1"/>
  <c r="E5" i="8"/>
  <c r="G5" i="8" s="1"/>
  <c r="E28" i="8"/>
  <c r="G28" i="8" s="1"/>
  <c r="E29" i="8"/>
  <c r="G29" i="8" s="1"/>
  <c r="E30" i="8"/>
  <c r="G30" i="8" s="1"/>
  <c r="E112" i="8"/>
  <c r="G112" i="8" s="1"/>
  <c r="E113" i="8"/>
  <c r="G113" i="8" s="1"/>
  <c r="E74" i="8"/>
  <c r="G74" i="8" s="1"/>
  <c r="E75" i="8"/>
  <c r="G75" i="8" s="1"/>
  <c r="E139" i="8"/>
  <c r="G139" i="8" s="1"/>
  <c r="E140" i="8"/>
  <c r="G140" i="8" s="1"/>
  <c r="E14" i="8"/>
  <c r="G14" i="8" s="1"/>
  <c r="E15" i="8"/>
  <c r="G15" i="8" s="1"/>
  <c r="E16" i="8"/>
  <c r="G16" i="8" s="1"/>
  <c r="E17" i="8"/>
  <c r="G17" i="8" s="1"/>
  <c r="E70" i="8"/>
  <c r="G70" i="8" s="1"/>
  <c r="E71" i="8"/>
  <c r="G71" i="8" s="1"/>
  <c r="E31" i="8"/>
  <c r="G31" i="8" s="1"/>
  <c r="E32" i="8"/>
  <c r="G32" i="8" s="1"/>
  <c r="E26" i="8"/>
  <c r="G26" i="8" s="1"/>
  <c r="E157" i="8"/>
  <c r="G157" i="8" s="1"/>
  <c r="E158" i="8"/>
  <c r="G158" i="8" s="1"/>
  <c r="E35" i="8"/>
  <c r="G35" i="8" s="1"/>
  <c r="E36" i="8"/>
  <c r="G36" i="8" s="1"/>
  <c r="E37" i="8"/>
  <c r="G37" i="8" s="1"/>
  <c r="E38" i="8"/>
  <c r="G38" i="8" s="1"/>
  <c r="E134" i="8"/>
  <c r="G134" i="8" s="1"/>
  <c r="E135" i="8"/>
  <c r="G135" i="8" s="1"/>
  <c r="E136" i="8"/>
  <c r="G136" i="8" s="1"/>
  <c r="E137" i="8"/>
  <c r="G137" i="8" s="1"/>
  <c r="E34" i="8"/>
  <c r="G34" i="8" s="1"/>
  <c r="E50" i="8"/>
  <c r="G50" i="8" s="1"/>
  <c r="E44" i="8"/>
  <c r="G44" i="8" s="1"/>
  <c r="E45" i="8"/>
  <c r="G45" i="8" s="1"/>
  <c r="E46" i="8"/>
  <c r="G46" i="8" s="1"/>
  <c r="E152" i="8"/>
  <c r="G152" i="8" s="1"/>
  <c r="E153" i="8"/>
  <c r="G153" i="8" s="1"/>
  <c r="E154" i="8"/>
  <c r="G154" i="8" s="1"/>
  <c r="E155" i="8"/>
  <c r="G155" i="8" s="1"/>
  <c r="E54" i="8"/>
  <c r="G54" i="8" s="1"/>
  <c r="E55" i="8"/>
  <c r="G55" i="8" s="1"/>
  <c r="E56" i="8"/>
  <c r="G56" i="8" s="1"/>
  <c r="E57" i="8"/>
  <c r="G57" i="8" s="1"/>
  <c r="E58" i="8"/>
  <c r="G58" i="8" s="1"/>
  <c r="E43" i="8"/>
  <c r="G43" i="8" s="1"/>
  <c r="E138" i="8"/>
  <c r="G138" i="8" s="1"/>
  <c r="E63" i="8"/>
  <c r="G63" i="8" s="1"/>
  <c r="E64" i="8"/>
  <c r="G64" i="8" s="1"/>
  <c r="E120" i="8"/>
  <c r="G120" i="8" s="1"/>
  <c r="E167" i="8"/>
  <c r="G167" i="8" s="1"/>
  <c r="E145" i="8"/>
  <c r="G145" i="8" s="1"/>
  <c r="E133" i="8"/>
  <c r="G133" i="8" s="1"/>
  <c r="E115" i="8"/>
  <c r="G115" i="8" s="1"/>
  <c r="E118" i="8"/>
  <c r="G118" i="8" s="1"/>
  <c r="E122" i="8"/>
  <c r="G122" i="8" s="1"/>
  <c r="E129" i="8"/>
  <c r="G129" i="8" s="1"/>
  <c r="E42" i="8"/>
  <c r="G42" i="8" s="1"/>
  <c r="E127" i="8"/>
  <c r="G127" i="8" s="1"/>
  <c r="E146" i="8"/>
  <c r="G146" i="8" s="1"/>
  <c r="E60" i="8"/>
  <c r="G60" i="8" s="1"/>
  <c r="E82" i="8"/>
  <c r="G82" i="8" s="1"/>
  <c r="S33" i="5" l="1"/>
  <c r="T33" i="5" s="1"/>
  <c r="R156" i="5"/>
  <c r="M156" i="5" s="1"/>
  <c r="P156" i="5" s="1"/>
  <c r="S156" i="5"/>
  <c r="T156" i="5" s="1"/>
  <c r="R124" i="5"/>
  <c r="M124" i="5" s="1"/>
  <c r="Q124" i="5" s="1"/>
  <c r="S158" i="5"/>
  <c r="T158" i="5" s="1"/>
  <c r="R39" i="5"/>
  <c r="M39" i="5" s="1"/>
  <c r="Q39" i="5" s="1"/>
  <c r="R86" i="5"/>
  <c r="M86" i="5" s="1"/>
  <c r="Q86" i="5" s="1"/>
  <c r="S85" i="5"/>
  <c r="T85" i="5" s="1"/>
  <c r="R40" i="5"/>
  <c r="M40" i="5" s="1"/>
  <c r="Q40" i="5" s="1"/>
  <c r="P21" i="5"/>
  <c r="S84" i="5"/>
  <c r="T84" i="5" s="1"/>
  <c r="R123" i="5"/>
  <c r="M123" i="5" s="1"/>
  <c r="Q123" i="5" s="1"/>
  <c r="R127" i="5"/>
  <c r="M127" i="5" s="1"/>
  <c r="P127" i="5" s="1"/>
  <c r="S144" i="5"/>
  <c r="T144" i="5" s="1"/>
  <c r="R74" i="5"/>
  <c r="M74" i="5" s="1"/>
  <c r="R42" i="5"/>
  <c r="M42" i="5" s="1"/>
  <c r="P42" i="5" s="1"/>
  <c r="R161" i="5"/>
  <c r="M161" i="5" s="1"/>
  <c r="P161" i="5" s="1"/>
  <c r="S107" i="5"/>
  <c r="T107" i="5" s="1"/>
  <c r="R58" i="5"/>
  <c r="M58" i="5" s="1"/>
  <c r="Q58" i="5" s="1"/>
  <c r="R160" i="5"/>
  <c r="M160" i="5" s="1"/>
  <c r="Q160" i="5" s="1"/>
  <c r="S65" i="5"/>
  <c r="T65" i="5" s="1"/>
  <c r="R26" i="5"/>
  <c r="M26" i="5" s="1"/>
  <c r="R57" i="5"/>
  <c r="M57" i="5" s="1"/>
  <c r="P57" i="5" s="1"/>
  <c r="S166" i="5"/>
  <c r="T166" i="5" s="1"/>
  <c r="R157" i="5"/>
  <c r="M157" i="5" s="1"/>
  <c r="Q157" i="5" s="1"/>
  <c r="S96" i="5"/>
  <c r="T96" i="5" s="1"/>
  <c r="Q33" i="5"/>
  <c r="P38" i="5"/>
  <c r="Q38" i="5"/>
  <c r="P166" i="5"/>
  <c r="Q166" i="5"/>
  <c r="P37" i="5"/>
  <c r="Q37" i="5"/>
  <c r="Q96" i="5"/>
  <c r="P96" i="5"/>
  <c r="R83" i="5"/>
  <c r="M83" i="5" s="1"/>
  <c r="P83" i="5" s="1"/>
  <c r="S83" i="5"/>
  <c r="T83" i="5" s="1"/>
  <c r="Q94" i="5"/>
  <c r="P94" i="5"/>
  <c r="R147" i="5"/>
  <c r="M147" i="5" s="1"/>
  <c r="P147" i="5" s="1"/>
  <c r="S4" i="5"/>
  <c r="T4" i="5" s="1"/>
  <c r="S5" i="5"/>
  <c r="T5" i="5" s="1"/>
  <c r="S104" i="5"/>
  <c r="T104" i="5" s="1"/>
  <c r="R32" i="5"/>
  <c r="M32" i="5" s="1"/>
  <c r="R165" i="5"/>
  <c r="M165" i="5" s="1"/>
  <c r="R143" i="5"/>
  <c r="M143" i="5" s="1"/>
  <c r="P143" i="5" s="1"/>
  <c r="R98" i="5"/>
  <c r="M98" i="5" s="1"/>
  <c r="Q98" i="5" s="1"/>
  <c r="R113" i="5"/>
  <c r="M113" i="5" s="1"/>
  <c r="R142" i="5"/>
  <c r="M142" i="5" s="1"/>
  <c r="P142" i="5" s="1"/>
  <c r="R97" i="5"/>
  <c r="M97" i="5" s="1"/>
  <c r="R146" i="5"/>
  <c r="M146" i="5" s="1"/>
  <c r="R29" i="5"/>
  <c r="M29" i="5" s="1"/>
  <c r="P29" i="5" s="1"/>
  <c r="R141" i="5"/>
  <c r="M141" i="5" s="1"/>
  <c r="P141" i="5" s="1"/>
  <c r="R130" i="5"/>
  <c r="M130" i="5" s="1"/>
  <c r="P130" i="5" s="1"/>
  <c r="R129" i="5"/>
  <c r="M129" i="5" s="1"/>
  <c r="R103" i="5"/>
  <c r="M103" i="5" s="1"/>
  <c r="S82" i="5"/>
  <c r="T82" i="5" s="1"/>
  <c r="R41" i="5"/>
  <c r="M41" i="5" s="1"/>
  <c r="P41" i="5" s="1"/>
  <c r="R99" i="5"/>
  <c r="M99" i="5" s="1"/>
  <c r="Q99" i="5" s="1"/>
  <c r="S151" i="5"/>
  <c r="T151" i="5" s="1"/>
  <c r="R151" i="5"/>
  <c r="M151" i="5" s="1"/>
  <c r="P132" i="5"/>
  <c r="Q132" i="5"/>
  <c r="P52" i="5"/>
  <c r="Q52" i="5"/>
  <c r="R121" i="5"/>
  <c r="M121" i="5" s="1"/>
  <c r="P121" i="5" s="1"/>
  <c r="S121" i="5"/>
  <c r="T121" i="5" s="1"/>
  <c r="R149" i="5"/>
  <c r="M149" i="5" s="1"/>
  <c r="S149" i="5"/>
  <c r="T149" i="5" s="1"/>
  <c r="Q112" i="5"/>
  <c r="P112" i="5"/>
  <c r="S20" i="5"/>
  <c r="T20" i="5" s="1"/>
  <c r="R20" i="5"/>
  <c r="M20" i="5" s="1"/>
  <c r="S109" i="5"/>
  <c r="T109" i="5" s="1"/>
  <c r="R109" i="5"/>
  <c r="M109" i="5" s="1"/>
  <c r="Q30" i="5"/>
  <c r="P30" i="5"/>
  <c r="Q131" i="5"/>
  <c r="P131" i="5"/>
  <c r="P56" i="5"/>
  <c r="Q56" i="5"/>
  <c r="P82" i="5"/>
  <c r="Q82" i="5"/>
  <c r="P84" i="5"/>
  <c r="Q84" i="5"/>
  <c r="R119" i="5"/>
  <c r="M119" i="5" s="1"/>
  <c r="S119" i="5"/>
  <c r="T119" i="5" s="1"/>
  <c r="R91" i="5"/>
  <c r="M91" i="5" s="1"/>
  <c r="S91" i="5"/>
  <c r="T91" i="5" s="1"/>
  <c r="S105" i="5"/>
  <c r="T105" i="5" s="1"/>
  <c r="R105" i="5"/>
  <c r="M105" i="5" s="1"/>
  <c r="R108" i="5"/>
  <c r="M108" i="5" s="1"/>
  <c r="S108" i="5"/>
  <c r="T108" i="5" s="1"/>
  <c r="P51" i="5"/>
  <c r="Q51" i="5"/>
  <c r="R148" i="5"/>
  <c r="M148" i="5" s="1"/>
  <c r="S148" i="5"/>
  <c r="T148" i="5" s="1"/>
  <c r="S13" i="5"/>
  <c r="T13" i="5" s="1"/>
  <c r="R13" i="5"/>
  <c r="M13" i="5" s="1"/>
  <c r="R93" i="5"/>
  <c r="M93" i="5" s="1"/>
  <c r="S93" i="5"/>
  <c r="T93" i="5" s="1"/>
  <c r="R67" i="5"/>
  <c r="M67" i="5" s="1"/>
  <c r="S67" i="5"/>
  <c r="T67" i="5" s="1"/>
  <c r="R133" i="5"/>
  <c r="M133" i="5" s="1"/>
  <c r="S133" i="5"/>
  <c r="T133" i="5" s="1"/>
  <c r="R155" i="5"/>
  <c r="M155" i="5" s="1"/>
  <c r="S155" i="5"/>
  <c r="T155" i="5" s="1"/>
  <c r="R27" i="5"/>
  <c r="M27" i="5" s="1"/>
  <c r="S27" i="5"/>
  <c r="T27" i="5" s="1"/>
  <c r="R48" i="5"/>
  <c r="M48" i="5" s="1"/>
  <c r="S48" i="5"/>
  <c r="T48" i="5" s="1"/>
  <c r="R10" i="5"/>
  <c r="M10" i="5" s="1"/>
  <c r="S10" i="5"/>
  <c r="T10" i="5" s="1"/>
  <c r="R54" i="5"/>
  <c r="M54" i="5" s="1"/>
  <c r="S30" i="5"/>
  <c r="T30" i="5" s="1"/>
  <c r="S53" i="5"/>
  <c r="T53" i="5" s="1"/>
  <c r="R154" i="5"/>
  <c r="M154" i="5" s="1"/>
  <c r="S154" i="5"/>
  <c r="T154" i="5" s="1"/>
  <c r="R16" i="5"/>
  <c r="M16" i="5" s="1"/>
  <c r="S16" i="5"/>
  <c r="T16" i="5" s="1"/>
  <c r="P53" i="5"/>
  <c r="R36" i="5"/>
  <c r="M36" i="5" s="1"/>
  <c r="S52" i="5"/>
  <c r="T52" i="5" s="1"/>
  <c r="R137" i="5"/>
  <c r="M137" i="5" s="1"/>
  <c r="S137" i="5"/>
  <c r="T137" i="5" s="1"/>
  <c r="S24" i="5"/>
  <c r="T24" i="5" s="1"/>
  <c r="R24" i="5"/>
  <c r="M24" i="5" s="1"/>
  <c r="S6" i="5"/>
  <c r="T6" i="5" s="1"/>
  <c r="R6" i="5"/>
  <c r="M6" i="5" s="1"/>
  <c r="R59" i="5"/>
  <c r="M59" i="5" s="1"/>
  <c r="S59" i="5"/>
  <c r="T59" i="5" s="1"/>
  <c r="R115" i="5"/>
  <c r="M115" i="5" s="1"/>
  <c r="S115" i="5"/>
  <c r="T115" i="5" s="1"/>
  <c r="R71" i="5"/>
  <c r="M71" i="5" s="1"/>
  <c r="S71" i="5"/>
  <c r="T71" i="5" s="1"/>
  <c r="R70" i="5"/>
  <c r="M70" i="5" s="1"/>
  <c r="S70" i="5"/>
  <c r="T70" i="5" s="1"/>
  <c r="R92" i="5"/>
  <c r="M92" i="5" s="1"/>
  <c r="S92" i="5"/>
  <c r="T92" i="5" s="1"/>
  <c r="R116" i="5"/>
  <c r="M116" i="5" s="1"/>
  <c r="S116" i="5"/>
  <c r="T116" i="5" s="1"/>
  <c r="R11" i="5"/>
  <c r="M11" i="5" s="1"/>
  <c r="S11" i="5"/>
  <c r="T11" i="5" s="1"/>
  <c r="R17" i="5"/>
  <c r="M17" i="5" s="1"/>
  <c r="S17" i="5"/>
  <c r="T17" i="5" s="1"/>
  <c r="S112" i="5"/>
  <c r="T112" i="5" s="1"/>
  <c r="R134" i="5"/>
  <c r="M134" i="5" s="1"/>
  <c r="S134" i="5"/>
  <c r="T134" i="5" s="1"/>
  <c r="R102" i="5"/>
  <c r="M102" i="5" s="1"/>
  <c r="S102" i="5"/>
  <c r="T102" i="5" s="1"/>
  <c r="S122" i="5"/>
  <c r="T122" i="5" s="1"/>
  <c r="R122" i="5"/>
  <c r="M122" i="5" s="1"/>
  <c r="Q18" i="5"/>
  <c r="P18" i="5"/>
  <c r="P66" i="5"/>
  <c r="Q66" i="5"/>
  <c r="R3" i="5"/>
  <c r="M3" i="5" s="1"/>
  <c r="S3" i="5"/>
  <c r="T3" i="5" s="1"/>
  <c r="R35" i="5"/>
  <c r="M35" i="5" s="1"/>
  <c r="S51" i="5"/>
  <c r="T51" i="5" s="1"/>
  <c r="Q7" i="5"/>
  <c r="P7" i="5"/>
  <c r="S46" i="5"/>
  <c r="T46" i="5" s="1"/>
  <c r="R46" i="5"/>
  <c r="M46" i="5" s="1"/>
  <c r="S140" i="5"/>
  <c r="T140" i="5" s="1"/>
  <c r="R140" i="5"/>
  <c r="M140" i="5" s="1"/>
  <c r="R72" i="5"/>
  <c r="M72" i="5" s="1"/>
  <c r="S72" i="5"/>
  <c r="T72" i="5" s="1"/>
  <c r="R60" i="5"/>
  <c r="M60" i="5" s="1"/>
  <c r="Q65" i="5"/>
  <c r="P65" i="5"/>
  <c r="S56" i="5"/>
  <c r="T56" i="5" s="1"/>
  <c r="S150" i="5"/>
  <c r="T150" i="5" s="1"/>
  <c r="R120" i="5"/>
  <c r="M120" i="5" s="1"/>
  <c r="S120" i="5"/>
  <c r="T120" i="5" s="1"/>
  <c r="P104" i="5"/>
  <c r="S55" i="5"/>
  <c r="T55" i="5" s="1"/>
  <c r="S132" i="5"/>
  <c r="T132" i="5" s="1"/>
  <c r="S162" i="5"/>
  <c r="T162" i="5" s="1"/>
  <c r="R162" i="5"/>
  <c r="M162" i="5" s="1"/>
  <c r="R12" i="5"/>
  <c r="M12" i="5" s="1"/>
  <c r="S12" i="5"/>
  <c r="T12" i="5" s="1"/>
  <c r="S14" i="5"/>
  <c r="T14" i="5" s="1"/>
  <c r="R14" i="5"/>
  <c r="M14" i="5" s="1"/>
  <c r="R167" i="5"/>
  <c r="M167" i="5" s="1"/>
  <c r="S167" i="5"/>
  <c r="T167" i="5" s="1"/>
  <c r="Q106" i="5"/>
  <c r="P106" i="5"/>
  <c r="Q76" i="5"/>
  <c r="P76" i="5"/>
  <c r="S64" i="5"/>
  <c r="T64" i="5" s="1"/>
  <c r="R64" i="5"/>
  <c r="M64" i="5" s="1"/>
  <c r="P158" i="5"/>
  <c r="Q85" i="5"/>
  <c r="P85" i="5"/>
  <c r="S131" i="5"/>
  <c r="T131" i="5" s="1"/>
  <c r="S31" i="5"/>
  <c r="T31" i="5" s="1"/>
  <c r="R31" i="5"/>
  <c r="M31" i="5" s="1"/>
  <c r="R136" i="5"/>
  <c r="M136" i="5" s="1"/>
  <c r="S136" i="5"/>
  <c r="T136" i="5" s="1"/>
  <c r="R28" i="5"/>
  <c r="M28" i="5" s="1"/>
  <c r="S28" i="5"/>
  <c r="T28" i="5" s="1"/>
  <c r="R15" i="5"/>
  <c r="M15" i="5" s="1"/>
  <c r="S15" i="5"/>
  <c r="T15" i="5" s="1"/>
  <c r="R152" i="5"/>
  <c r="M152" i="5" s="1"/>
  <c r="S152" i="5"/>
  <c r="T152" i="5" s="1"/>
  <c r="S25" i="5"/>
  <c r="T25" i="5" s="1"/>
  <c r="R25" i="5"/>
  <c r="M25" i="5" s="1"/>
  <c r="P25" i="5" s="1"/>
  <c r="R164" i="5"/>
  <c r="M164" i="5" s="1"/>
  <c r="S164" i="5"/>
  <c r="T164" i="5" s="1"/>
  <c r="P111" i="5"/>
  <c r="Q111" i="5"/>
  <c r="S38" i="5"/>
  <c r="T38" i="5" s="1"/>
  <c r="R117" i="5"/>
  <c r="M117" i="5" s="1"/>
  <c r="S117" i="5"/>
  <c r="T117" i="5" s="1"/>
  <c r="R135" i="5"/>
  <c r="M135" i="5" s="1"/>
  <c r="S135" i="5"/>
  <c r="T135" i="5" s="1"/>
  <c r="R68" i="5"/>
  <c r="M68" i="5" s="1"/>
  <c r="S68" i="5"/>
  <c r="T68" i="5" s="1"/>
  <c r="R145" i="5"/>
  <c r="M145" i="5" s="1"/>
  <c r="S145" i="5"/>
  <c r="T145" i="5" s="1"/>
  <c r="R153" i="5"/>
  <c r="M153" i="5" s="1"/>
  <c r="S153" i="5"/>
  <c r="T153" i="5" s="1"/>
  <c r="P150" i="5"/>
  <c r="P73" i="5"/>
  <c r="Q73" i="5"/>
  <c r="P107" i="5"/>
  <c r="Q107" i="5"/>
  <c r="S63" i="5"/>
  <c r="T63" i="5" s="1"/>
  <c r="R63" i="5"/>
  <c r="M63" i="5" s="1"/>
  <c r="R114" i="5"/>
  <c r="M114" i="5" s="1"/>
  <c r="S114" i="5"/>
  <c r="T114" i="5" s="1"/>
  <c r="R163" i="5"/>
  <c r="M163" i="5" s="1"/>
  <c r="S163" i="5"/>
  <c r="T163" i="5" s="1"/>
  <c r="R110" i="5"/>
  <c r="M110" i="5" s="1"/>
  <c r="S110" i="5"/>
  <c r="T110" i="5" s="1"/>
  <c r="Q55" i="5"/>
  <c r="S37" i="5"/>
  <c r="T37" i="5" s="1"/>
  <c r="S7" i="5"/>
  <c r="T7" i="5" s="1"/>
  <c r="R118" i="5"/>
  <c r="M118" i="5" s="1"/>
  <c r="S118" i="5"/>
  <c r="T118" i="5" s="1"/>
  <c r="R19" i="5"/>
  <c r="M19" i="5" s="1"/>
  <c r="R80" i="5"/>
  <c r="M80" i="5" s="1"/>
  <c r="R45" i="5"/>
  <c r="M45" i="5" s="1"/>
  <c r="R62" i="5"/>
  <c r="M62" i="5" s="1"/>
  <c r="R47" i="5"/>
  <c r="M47" i="5" s="1"/>
  <c r="R79" i="5"/>
  <c r="M79" i="5" s="1"/>
  <c r="R95" i="5"/>
  <c r="M95" i="5" s="1"/>
  <c r="Q95" i="5" s="1"/>
  <c r="S94" i="5"/>
  <c r="T94" i="5" s="1"/>
  <c r="R44" i="5"/>
  <c r="M44" i="5" s="1"/>
  <c r="R61" i="5"/>
  <c r="M61" i="5" s="1"/>
  <c r="R23" i="5"/>
  <c r="M23" i="5" s="1"/>
  <c r="R78" i="5"/>
  <c r="M78" i="5" s="1"/>
  <c r="S18" i="5"/>
  <c r="T18" i="5" s="1"/>
  <c r="S66" i="5"/>
  <c r="T66" i="5" s="1"/>
  <c r="R49" i="5"/>
  <c r="M49" i="5" s="1"/>
  <c r="R50" i="5"/>
  <c r="M50" i="5" s="1"/>
  <c r="R128" i="5"/>
  <c r="M128" i="5" s="1"/>
  <c r="R90" i="5"/>
  <c r="M90" i="5" s="1"/>
  <c r="R22" i="5"/>
  <c r="M22" i="5" s="1"/>
  <c r="R69" i="5"/>
  <c r="M69" i="5" s="1"/>
  <c r="R77" i="5"/>
  <c r="M77" i="5" s="1"/>
  <c r="R9" i="5"/>
  <c r="M9" i="5" s="1"/>
  <c r="S106" i="5"/>
  <c r="T106" i="5" s="1"/>
  <c r="S21" i="5"/>
  <c r="T21" i="5" s="1"/>
  <c r="S76" i="5"/>
  <c r="T76" i="5" s="1"/>
  <c r="R34" i="5"/>
  <c r="M34" i="5" s="1"/>
  <c r="R89" i="5"/>
  <c r="M89" i="5" s="1"/>
  <c r="R159" i="5"/>
  <c r="M159" i="5" s="1"/>
  <c r="R8" i="5"/>
  <c r="M8" i="5" s="1"/>
  <c r="S73" i="5"/>
  <c r="T73" i="5" s="1"/>
  <c r="S111" i="5"/>
  <c r="T111" i="5" s="1"/>
  <c r="P144" i="5"/>
  <c r="R138" i="5"/>
  <c r="M138" i="5" s="1"/>
  <c r="R139" i="5"/>
  <c r="M139" i="5" s="1"/>
  <c r="R88" i="5"/>
  <c r="M88" i="5" s="1"/>
  <c r="R101" i="5"/>
  <c r="M101" i="5" s="1"/>
  <c r="R126" i="5"/>
  <c r="M126" i="5" s="1"/>
  <c r="R81" i="5"/>
  <c r="M81" i="5" s="1"/>
  <c r="R43" i="5"/>
  <c r="M43" i="5" s="1"/>
  <c r="R75" i="5"/>
  <c r="M75" i="5" s="1"/>
  <c r="R87" i="5"/>
  <c r="M87" i="5" s="1"/>
  <c r="R100" i="5"/>
  <c r="M100" i="5" s="1"/>
  <c r="R125" i="5"/>
  <c r="M125" i="5" s="1"/>
  <c r="Q5" i="5"/>
  <c r="P5" i="5"/>
  <c r="P4" i="5"/>
  <c r="Q4" i="5"/>
  <c r="Q2" i="5"/>
  <c r="P2" i="5"/>
  <c r="S2" i="5"/>
  <c r="T2" i="5" s="1"/>
  <c r="P86" i="5" l="1"/>
  <c r="P99" i="5"/>
  <c r="Q57" i="5"/>
  <c r="Q156" i="5"/>
  <c r="P124" i="5"/>
  <c r="Q42" i="5"/>
  <c r="Q147" i="5"/>
  <c r="Q130" i="5"/>
  <c r="P58" i="5"/>
  <c r="P160" i="5"/>
  <c r="P123" i="5"/>
  <c r="Q127" i="5"/>
  <c r="P40" i="5"/>
  <c r="Q161" i="5"/>
  <c r="Q41" i="5"/>
  <c r="Q26" i="5"/>
  <c r="P26" i="5"/>
  <c r="P157" i="5"/>
  <c r="P95" i="5"/>
  <c r="Q83" i="5"/>
  <c r="Q141" i="5"/>
  <c r="P39" i="5"/>
  <c r="Q74" i="5"/>
  <c r="P74" i="5"/>
  <c r="P97" i="5"/>
  <c r="Q97" i="5"/>
  <c r="Q113" i="5"/>
  <c r="P113" i="5"/>
  <c r="Q143" i="5"/>
  <c r="P103" i="5"/>
  <c r="Q103" i="5"/>
  <c r="P165" i="5"/>
  <c r="Q165" i="5"/>
  <c r="Q129" i="5"/>
  <c r="P129" i="5"/>
  <c r="P32" i="5"/>
  <c r="Q32" i="5"/>
  <c r="Q142" i="5"/>
  <c r="P98" i="5"/>
  <c r="Q29" i="5"/>
  <c r="P146" i="5"/>
  <c r="Q146" i="5"/>
  <c r="Q89" i="5"/>
  <c r="P89" i="5"/>
  <c r="Q81" i="5"/>
  <c r="P81" i="5"/>
  <c r="P64" i="5"/>
  <c r="Q64" i="5"/>
  <c r="Q13" i="5"/>
  <c r="P13" i="5"/>
  <c r="P162" i="5"/>
  <c r="Q162" i="5"/>
  <c r="Q88" i="5"/>
  <c r="P88" i="5"/>
  <c r="Q78" i="5"/>
  <c r="P78" i="5"/>
  <c r="P80" i="5"/>
  <c r="Q80" i="5"/>
  <c r="Q114" i="5"/>
  <c r="P114" i="5"/>
  <c r="Q136" i="5"/>
  <c r="P136" i="5"/>
  <c r="P92" i="5"/>
  <c r="Q92" i="5"/>
  <c r="P27" i="5"/>
  <c r="Q27" i="5"/>
  <c r="P91" i="5"/>
  <c r="Q91" i="5"/>
  <c r="P149" i="5"/>
  <c r="Q149" i="5"/>
  <c r="Q43" i="5"/>
  <c r="P43" i="5"/>
  <c r="Q50" i="5"/>
  <c r="P50" i="5"/>
  <c r="P11" i="5"/>
  <c r="Q11" i="5"/>
  <c r="P10" i="5"/>
  <c r="Q10" i="5"/>
  <c r="Q34" i="5"/>
  <c r="P34" i="5"/>
  <c r="P49" i="5"/>
  <c r="Q49" i="5"/>
  <c r="Q153" i="5"/>
  <c r="P153" i="5"/>
  <c r="Q126" i="5"/>
  <c r="P126" i="5"/>
  <c r="Q163" i="5"/>
  <c r="P163" i="5"/>
  <c r="P59" i="5"/>
  <c r="Q59" i="5"/>
  <c r="Q60" i="5"/>
  <c r="P60" i="5"/>
  <c r="P6" i="5"/>
  <c r="Q6" i="5"/>
  <c r="Q139" i="5"/>
  <c r="P139" i="5"/>
  <c r="P23" i="5"/>
  <c r="Q23" i="5"/>
  <c r="P19" i="5"/>
  <c r="Q19" i="5"/>
  <c r="Q31" i="5"/>
  <c r="P31" i="5"/>
  <c r="P35" i="5"/>
  <c r="Q35" i="5"/>
  <c r="Q24" i="5"/>
  <c r="P24" i="5"/>
  <c r="Q138" i="5"/>
  <c r="P138" i="5"/>
  <c r="P70" i="5"/>
  <c r="Q70" i="5"/>
  <c r="Q155" i="5"/>
  <c r="P155" i="5"/>
  <c r="Q44" i="5"/>
  <c r="P44" i="5"/>
  <c r="Q118" i="5"/>
  <c r="P118" i="5"/>
  <c r="P135" i="5"/>
  <c r="Q135" i="5"/>
  <c r="P3" i="5"/>
  <c r="Q3" i="5"/>
  <c r="Q125" i="5"/>
  <c r="P125" i="5"/>
  <c r="Q69" i="5"/>
  <c r="P69" i="5"/>
  <c r="Q167" i="5"/>
  <c r="P167" i="5"/>
  <c r="Q46" i="5"/>
  <c r="P46" i="5"/>
  <c r="Q71" i="5"/>
  <c r="P71" i="5"/>
  <c r="P137" i="5"/>
  <c r="Q137" i="5"/>
  <c r="P133" i="5"/>
  <c r="Q133" i="5"/>
  <c r="Q119" i="5"/>
  <c r="P119" i="5"/>
  <c r="Q110" i="5"/>
  <c r="P110" i="5"/>
  <c r="P122" i="5"/>
  <c r="Q122" i="5"/>
  <c r="Q45" i="5"/>
  <c r="P45" i="5"/>
  <c r="P116" i="5"/>
  <c r="Q116" i="5"/>
  <c r="Q145" i="5"/>
  <c r="P145" i="5"/>
  <c r="Q102" i="5"/>
  <c r="P102" i="5"/>
  <c r="P164" i="5"/>
  <c r="Q164" i="5"/>
  <c r="P134" i="5"/>
  <c r="Q134" i="5"/>
  <c r="Q61" i="5"/>
  <c r="P61" i="5"/>
  <c r="P148" i="5"/>
  <c r="Q148" i="5"/>
  <c r="Q77" i="5"/>
  <c r="P77" i="5"/>
  <c r="Q100" i="5"/>
  <c r="P100" i="5"/>
  <c r="Q22" i="5"/>
  <c r="P22" i="5"/>
  <c r="P117" i="5"/>
  <c r="Q117" i="5"/>
  <c r="P152" i="5"/>
  <c r="Q152" i="5"/>
  <c r="P14" i="5"/>
  <c r="Q14" i="5"/>
  <c r="Q109" i="5"/>
  <c r="P109" i="5"/>
  <c r="P36" i="5"/>
  <c r="Q36" i="5"/>
  <c r="Q62" i="5"/>
  <c r="P62" i="5"/>
  <c r="Q12" i="5"/>
  <c r="P12" i="5"/>
  <c r="P48" i="5"/>
  <c r="Q48" i="5"/>
  <c r="Q101" i="5"/>
  <c r="P101" i="5"/>
  <c r="P68" i="5"/>
  <c r="Q68" i="5"/>
  <c r="Q140" i="5"/>
  <c r="P140" i="5"/>
  <c r="Q25" i="5"/>
  <c r="Q87" i="5"/>
  <c r="P87" i="5"/>
  <c r="Q8" i="5"/>
  <c r="P8" i="5"/>
  <c r="P90" i="5"/>
  <c r="Q90" i="5"/>
  <c r="Q120" i="5"/>
  <c r="P120" i="5"/>
  <c r="P17" i="5"/>
  <c r="Q17" i="5"/>
  <c r="Q115" i="5"/>
  <c r="P115" i="5"/>
  <c r="P54" i="5"/>
  <c r="Q54" i="5"/>
  <c r="P67" i="5"/>
  <c r="Q67" i="5"/>
  <c r="Q108" i="5"/>
  <c r="P108" i="5"/>
  <c r="Q47" i="5"/>
  <c r="P47" i="5"/>
  <c r="P93" i="5"/>
  <c r="Q93" i="5"/>
  <c r="Q28" i="5"/>
  <c r="P28" i="5"/>
  <c r="Q16" i="5"/>
  <c r="P16" i="5"/>
  <c r="Q63" i="5"/>
  <c r="P63" i="5"/>
  <c r="P72" i="5"/>
  <c r="Q72" i="5"/>
  <c r="Q154" i="5"/>
  <c r="P154" i="5"/>
  <c r="Q9" i="5"/>
  <c r="P9" i="5"/>
  <c r="Q121" i="5"/>
  <c r="Q75" i="5"/>
  <c r="P75" i="5"/>
  <c r="Q159" i="5"/>
  <c r="P159" i="5"/>
  <c r="Q128" i="5"/>
  <c r="P128" i="5"/>
  <c r="Q79" i="5"/>
  <c r="P79" i="5"/>
  <c r="Q15" i="5"/>
  <c r="P15" i="5"/>
  <c r="Q105" i="5"/>
  <c r="P105" i="5"/>
  <c r="P20" i="5"/>
  <c r="Q20" i="5"/>
  <c r="P151" i="5"/>
  <c r="Q15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DB3F5-ECAC-4DF5-9C4B-C3C46F64175D}" keepAlive="1" name="Consulta - dim_produtos" description="Conexão com a consulta 'dim_produtos' na pasta de trabalho." type="5" refreshedVersion="7" background="1" saveData="1">
    <dbPr connection="Provider=Microsoft.Mashup.OleDb.1;Data Source=$Workbook$;Location=dim_produtos;Extended Properties=&quot;&quot;" command="SELECT * FROM [dim_produtos]"/>
  </connection>
  <connection id="2" xr16:uid="{667823D4-6206-4664-9B76-E8A1F690518A}" keepAlive="1" name="Consulta - fact_anuncios" description="Conexão com a consulta 'fact_anuncios' na pasta de trabalho." type="5" refreshedVersion="7" background="1" saveData="1">
    <dbPr connection="Provider=Microsoft.Mashup.OleDb.1;Data Source=$Workbook$;Location=fact_anuncios;Extended Properties=&quot;&quot;" command="SELECT * FROM [fact_anuncios]"/>
  </connection>
  <connection id="3" xr16:uid="{03B3E7A0-BF2F-428E-B182-F3E416EBFC7C}" keepAlive="1" name="Consulta - fact_estoque" description="Conexão com a consulta 'fact_estoque' na pasta de trabalho." type="5" refreshedVersion="7" background="1" saveData="1">
    <dbPr connection="Provider=Microsoft.Mashup.OleDb.1;Data Source=$Workbook$;Location=fact_estoque;Extended Properties=&quot;&quot;" command="SELECT * FROM [fact_estoque]"/>
  </connection>
  <connection id="4" xr16:uid="{25BE09B2-1E03-4DB4-BCC2-DF3C87757C74}" keepAlive="1" name="Consulta - fact_estoque (2)" description="Conexão com a consulta 'fact_estoque (2)' na pasta de trabalho." type="5" refreshedVersion="7" background="1" saveData="1">
    <dbPr connection="Provider=Microsoft.Mashup.OleDb.1;Data Source=$Workbook$;Location=&quot;fact_estoque (2)&quot;;Extended Properties=&quot;&quot;" command="SELECT * FROM [fact_estoque (2)]"/>
  </connection>
  <connection id="5" xr16:uid="{858C7894-B1A3-4819-A863-E19E4C6B6FD1}" keepAlive="1" name="Consulta - fact_estoque2" description="Conexão com a consulta 'fact_estoque2' na pasta de trabalho." type="5" refreshedVersion="0" background="1">
    <dbPr connection="Provider=Microsoft.Mashup.OleDb.1;Data Source=$Workbook$;Location=fact_estoque2;Extended Properties=&quot;&quot;" command="SELECT * FROM [fact_estoque2]"/>
  </connection>
  <connection id="6" xr16:uid="{6781C01C-18DB-4A81-99F2-056D386D5550}" keepAlive="1" name="Consulta - Tabela4" description="Conexão com a consulta 'Tabela4' na pasta de trabalho." type="5" refreshedVersion="0" background="1">
    <dbPr connection="Provider=Microsoft.Mashup.OleDb.1;Data Source=$Workbook$;Location=Tabela4;Extended Properties=&quot;&quot;" command="SELECT * FROM [Tabela4]"/>
  </connection>
</connections>
</file>

<file path=xl/sharedStrings.xml><?xml version="1.0" encoding="utf-8"?>
<sst xmlns="http://schemas.openxmlformats.org/spreadsheetml/2006/main" count="1619" uniqueCount="546">
  <si>
    <t>sku</t>
  </si>
  <si>
    <t>produto</t>
  </si>
  <si>
    <t>categoria</t>
  </si>
  <si>
    <t>preco_unit_sistema</t>
  </si>
  <si>
    <t>Discos e rebolos de corte e desbaste</t>
  </si>
  <si>
    <t>Eletrodos para solda</t>
  </si>
  <si>
    <t>Máquinas de solda</t>
  </si>
  <si>
    <t>Kits de consumíveis para máquinas de corte de plasma</t>
  </si>
  <si>
    <t>Acessórios e peças para ferramentas</t>
  </si>
  <si>
    <t>sku_anuncio</t>
  </si>
  <si>
    <t>tipo_anuncio</t>
  </si>
  <si>
    <t>quantidade_anuncio</t>
  </si>
  <si>
    <t>valor_tipo</t>
  </si>
  <si>
    <t>frete</t>
  </si>
  <si>
    <t>markup_promo</t>
  </si>
  <si>
    <t>perc_desconto_min</t>
  </si>
  <si>
    <t>preco_sugerido</t>
  </si>
  <si>
    <t>anuncio_ml</t>
  </si>
  <si>
    <t>Premium</t>
  </si>
  <si>
    <t>Clássico</t>
  </si>
  <si>
    <t>Brocas e Serra Copos</t>
  </si>
  <si>
    <t>Consumíveis para soldagem MIG</t>
  </si>
  <si>
    <t>Consumíveis para oxicorte</t>
  </si>
  <si>
    <t>Acessórios de Proteção</t>
  </si>
  <si>
    <t>Conjunto de Solda</t>
  </si>
  <si>
    <t>Resfriadores</t>
  </si>
  <si>
    <t>Kits de solda</t>
  </si>
  <si>
    <t>Kits de consumíveis de oxicorte</t>
  </si>
  <si>
    <t>Kits de consumíveis MIG</t>
  </si>
  <si>
    <t>custo_produto</t>
  </si>
  <si>
    <t>preco_unit</t>
  </si>
  <si>
    <t>perc_comissao</t>
  </si>
  <si>
    <t>valor_min_produto</t>
  </si>
  <si>
    <t>atacado_1</t>
  </si>
  <si>
    <t>custo_total_promo</t>
  </si>
  <si>
    <t>atacado_2</t>
  </si>
  <si>
    <t>preco_min_unit</t>
  </si>
  <si>
    <t>estoque_sistema</t>
  </si>
  <si>
    <t>estoque_alocado</t>
  </si>
  <si>
    <t>imagem</t>
  </si>
  <si>
    <t>custo_total_taxa</t>
  </si>
  <si>
    <t>unidade</t>
  </si>
  <si>
    <t>Und.</t>
  </si>
  <si>
    <t>KG.</t>
  </si>
  <si>
    <t>anuncio</t>
  </si>
  <si>
    <t>Kits</t>
  </si>
  <si>
    <t>Produto Genérico DISC-001</t>
  </si>
  <si>
    <t>Produto Genérico ACES-002</t>
  </si>
  <si>
    <t>Produto Genérico DISC-003</t>
  </si>
  <si>
    <t>Produto Genérico DISC-004</t>
  </si>
  <si>
    <t>Produto Genérico DISC-005</t>
  </si>
  <si>
    <t>Produto Genérico DISC-006</t>
  </si>
  <si>
    <t>Produto Genérico DISC-007</t>
  </si>
  <si>
    <t>Produto Genérico DISC-008</t>
  </si>
  <si>
    <t>Produto Genérico DISC-009</t>
  </si>
  <si>
    <t>Produto Genérico BROC-010</t>
  </si>
  <si>
    <t>Produto Genérico BROC-011</t>
  </si>
  <si>
    <t>Produto Genérico BROC-012</t>
  </si>
  <si>
    <t>Produto Genérico BROC-013</t>
  </si>
  <si>
    <t>Produto Genérico PROD-014</t>
  </si>
  <si>
    <t>Produto Genérico PROD-015</t>
  </si>
  <si>
    <t>Produto Genérico PROD-016</t>
  </si>
  <si>
    <t>Produto Genérico DISC-017</t>
  </si>
  <si>
    <t>Produto Genérico DISC-018</t>
  </si>
  <si>
    <t>Produto Genérico DISC-019</t>
  </si>
  <si>
    <t>Produto Genérico OXIC-020</t>
  </si>
  <si>
    <t>Produto Genérico OXIC-021</t>
  </si>
  <si>
    <t>Produto Genérico OXIC-022</t>
  </si>
  <si>
    <t>Produto Genérico OXIC-023</t>
  </si>
  <si>
    <t>Produto Genérico OXIC-024</t>
  </si>
  <si>
    <t>Produto Genérico OXIC-025</t>
  </si>
  <si>
    <t>Produto Genérico PROD-026</t>
  </si>
  <si>
    <t>Produto Genérico PROD-027</t>
  </si>
  <si>
    <t>Produto Genérico PLAS-028</t>
  </si>
  <si>
    <t>Produto Genérico PLAS-029</t>
  </si>
  <si>
    <t>Produto Genérico PLAS-030</t>
  </si>
  <si>
    <t>Produto Genérico PLAS-031</t>
  </si>
  <si>
    <t>Produto Genérico PLAS-032</t>
  </si>
  <si>
    <t>Produto Genérico PLAS-033</t>
  </si>
  <si>
    <t>Produto Genérico PLAS-034</t>
  </si>
  <si>
    <t>Produto Genérico PROD-035</t>
  </si>
  <si>
    <t>Produto Genérico PROD-036</t>
  </si>
  <si>
    <t>Produto Genérico OXIC-037</t>
  </si>
  <si>
    <t>Produto Genérico MIGC-038</t>
  </si>
  <si>
    <t>Produto Genérico MIGC-039</t>
  </si>
  <si>
    <t>Produto Genérico MIGC-040</t>
  </si>
  <si>
    <t>Produto Genérico MIGC-041</t>
  </si>
  <si>
    <t>Produto Genérico MIGC-042</t>
  </si>
  <si>
    <t>Produto Genérico PROD-043</t>
  </si>
  <si>
    <t>Produto Genérico PROD-044</t>
  </si>
  <si>
    <t>Produto Genérico PROD-045</t>
  </si>
  <si>
    <t>Produto Genérico OXIK-046</t>
  </si>
  <si>
    <t>Produto Genérico DISC-047</t>
  </si>
  <si>
    <t>Produto Genérico OXIC-048</t>
  </si>
  <si>
    <t>Produto Genérico OXIC-049</t>
  </si>
  <si>
    <t>Produto Genérico OXIC-050</t>
  </si>
  <si>
    <t>Produto Genérico PLAS-051</t>
  </si>
  <si>
    <t>Produto Genérico MIGC-052</t>
  </si>
  <si>
    <t>Produto Genérico PLAS-053</t>
  </si>
  <si>
    <t>Produto Genérico PLAS-054</t>
  </si>
  <si>
    <t>Produto Genérico PLAS-055</t>
  </si>
  <si>
    <t>Produto Genérico PLAS-056</t>
  </si>
  <si>
    <t>Produto Genérico ELET-057</t>
  </si>
  <si>
    <t>Produto Genérico ELET-058</t>
  </si>
  <si>
    <t>Produto Genérico ELET-059</t>
  </si>
  <si>
    <t>Produto Genérico PROT-060</t>
  </si>
  <si>
    <t>Produto Genérico MSOL-061</t>
  </si>
  <si>
    <t>Produto Genérico MSOL-062</t>
  </si>
  <si>
    <t>Produto Genérico MSOL-063</t>
  </si>
  <si>
    <t>Produto Genérico MSOL-064</t>
  </si>
  <si>
    <t>Produto Genérico MSOL-065</t>
  </si>
  <si>
    <t>Produto Genérico MSOL-066</t>
  </si>
  <si>
    <t>Produto Genérico MSOL-067</t>
  </si>
  <si>
    <t>Produto Genérico PLAS-068</t>
  </si>
  <si>
    <t>Produto Genérico ELET-069</t>
  </si>
  <si>
    <t>Produto Genérico ELET-070</t>
  </si>
  <si>
    <t>Produto Genérico DISC-071</t>
  </si>
  <si>
    <t>Produto Genérico DISC-072</t>
  </si>
  <si>
    <t>Produto Genérico MSOL-073</t>
  </si>
  <si>
    <t>Produto Genérico CSOL-074</t>
  </si>
  <si>
    <t>Produto Genérico PLAS-075</t>
  </si>
  <si>
    <t>Produto Genérico DISC-076</t>
  </si>
  <si>
    <t>Produto Genérico DISC-077</t>
  </si>
  <si>
    <t>Produto Genérico MSOL-078</t>
  </si>
  <si>
    <t>Produto Genérico MSOL-079</t>
  </si>
  <si>
    <t>Produto Genérico MSOL-080</t>
  </si>
  <si>
    <t>Produto Genérico MSOL-081</t>
  </si>
  <si>
    <t>Produto Genérico RESF-082</t>
  </si>
  <si>
    <t>Produto Genérico OXIC-083</t>
  </si>
  <si>
    <t>Produto Genérico OXIC-084</t>
  </si>
  <si>
    <t>Produto Genérico DISC-085</t>
  </si>
  <si>
    <t>Produto Genérico BROC-086</t>
  </si>
  <si>
    <t>Produto Genérico KSOL-087</t>
  </si>
  <si>
    <t>Produto Genérico MIGK-088</t>
  </si>
  <si>
    <t>Produto Genérico KSOL-089</t>
  </si>
  <si>
    <t>Produto Genérico OXIK-090</t>
  </si>
  <si>
    <t>Produto Genérico OXIK-091</t>
  </si>
  <si>
    <t>Produto Genérico OXIK-092</t>
  </si>
  <si>
    <t>MLB3941975480</t>
  </si>
  <si>
    <t>MLB5561557300</t>
  </si>
  <si>
    <t>MLB5316615266</t>
  </si>
  <si>
    <t>MLB3297265480</t>
  </si>
  <si>
    <t>MLB5287955558</t>
  </si>
  <si>
    <t>MLB3202363285</t>
  </si>
  <si>
    <t>MLB6698408854</t>
  </si>
  <si>
    <t>MLB3470939445</t>
  </si>
  <si>
    <t>MLB3656448479</t>
  </si>
  <si>
    <t>MLB5694860228</t>
  </si>
  <si>
    <t>MLB3687117441</t>
  </si>
  <si>
    <t>MLB3599707677</t>
  </si>
  <si>
    <t>MLB5411057787</t>
  </si>
  <si>
    <t>MLB4128466620</t>
  </si>
  <si>
    <t>MLB4715412119</t>
  </si>
  <si>
    <t>MLB6135030058</t>
  </si>
  <si>
    <t>MLB4137651678</t>
  </si>
  <si>
    <t>MLB3693847829</t>
  </si>
  <si>
    <t>MLB4699226064</t>
  </si>
  <si>
    <t>MLB6799685197</t>
  </si>
  <si>
    <t>MLB6199703321</t>
  </si>
  <si>
    <t>MLB6224995600</t>
  </si>
  <si>
    <t>MLB3090341465</t>
  </si>
  <si>
    <t>MLB5526766690</t>
  </si>
  <si>
    <t>MLB5379074819</t>
  </si>
  <si>
    <t>MLB4028439863</t>
  </si>
  <si>
    <t>MLB5087313121</t>
  </si>
  <si>
    <t>MLB6208399878</t>
  </si>
  <si>
    <t>MLB5506254832</t>
  </si>
  <si>
    <t>MLB5119634399</t>
  </si>
  <si>
    <t>MLB5685643886</t>
  </si>
  <si>
    <t>MLB5921794983</t>
  </si>
  <si>
    <t>MLB6266761413</t>
  </si>
  <si>
    <t>MLB5316259067</t>
  </si>
  <si>
    <t>MLB5922644564</t>
  </si>
  <si>
    <t>MLB6401954956</t>
  </si>
  <si>
    <t>MLB5833608204</t>
  </si>
  <si>
    <t>MLB3479112937</t>
  </si>
  <si>
    <t>MLB6927951973</t>
  </si>
  <si>
    <t>MLB6301106403</t>
  </si>
  <si>
    <t>MLB6763970286</t>
  </si>
  <si>
    <t>MLB5761027762</t>
  </si>
  <si>
    <t>MLB3551437149</t>
  </si>
  <si>
    <t>MLB5180476188</t>
  </si>
  <si>
    <t>MLB5744267175</t>
  </si>
  <si>
    <t>MLB5791205006</t>
  </si>
  <si>
    <t>MLB5180395476</t>
  </si>
  <si>
    <t>MLB3457031004</t>
  </si>
  <si>
    <t>MLB5615507143</t>
  </si>
  <si>
    <t>MLB3988335251</t>
  </si>
  <si>
    <t>MLB3679282378</t>
  </si>
  <si>
    <t>MLB6761759725</t>
  </si>
  <si>
    <t>MLB4639042338</t>
  </si>
  <si>
    <t>MLB6747071386</t>
  </si>
  <si>
    <t>MLB3965067727</t>
  </si>
  <si>
    <t>MLB3272849424</t>
  </si>
  <si>
    <t>MLB5266341635</t>
  </si>
  <si>
    <t>MLB4452066459</t>
  </si>
  <si>
    <t>MLB4131247330</t>
  </si>
  <si>
    <t>MLB4817363615</t>
  </si>
  <si>
    <t>MLB4338811290</t>
  </si>
  <si>
    <t>MLB4813163240</t>
  </si>
  <si>
    <t>MLB6243839315</t>
  </si>
  <si>
    <t>MLB6062092518</t>
  </si>
  <si>
    <t>MLB4713658874</t>
  </si>
  <si>
    <t>MLB3274989148</t>
  </si>
  <si>
    <t>MLB4392239675</t>
  </si>
  <si>
    <t>MLB5436779490</t>
  </si>
  <si>
    <t>MLB3913224047</t>
  </si>
  <si>
    <t>MLB5815087637</t>
  </si>
  <si>
    <t>MLB6083418319</t>
  </si>
  <si>
    <t>MLB5272528809</t>
  </si>
  <si>
    <t>MLB6738848790</t>
  </si>
  <si>
    <t>MLB5144181937</t>
  </si>
  <si>
    <t>MLB5314889832</t>
  </si>
  <si>
    <t>MLB4461042543</t>
  </si>
  <si>
    <t>MLB3002456273</t>
  </si>
  <si>
    <t>MLB3480468219</t>
  </si>
  <si>
    <t>MLB6990448177</t>
  </si>
  <si>
    <t>MLB4034535593</t>
  </si>
  <si>
    <t>MLB6771022520</t>
  </si>
  <si>
    <t>MLB6504793184</t>
  </si>
  <si>
    <t>MLB6989653086</t>
  </si>
  <si>
    <t>MLB5884873529</t>
  </si>
  <si>
    <t>MLB6614942327</t>
  </si>
  <si>
    <t>MLB5041322270</t>
  </si>
  <si>
    <t>MLB5361388464</t>
  </si>
  <si>
    <t>MLB4281810600</t>
  </si>
  <si>
    <t>MLB4260573448</t>
  </si>
  <si>
    <t>MLB4867302554</t>
  </si>
  <si>
    <t>MLB5559321289</t>
  </si>
  <si>
    <t>MLB5605301030</t>
  </si>
  <si>
    <t>MLB3863937247</t>
  </si>
  <si>
    <t>MLB4948728483</t>
  </si>
  <si>
    <t>MLB6091004939</t>
  </si>
  <si>
    <t>MLB3709214891</t>
  </si>
  <si>
    <t>MLB4138409539</t>
  </si>
  <si>
    <t>MLB3613628803</t>
  </si>
  <si>
    <t>MLB4970753705</t>
  </si>
  <si>
    <t>MLB4146005448</t>
  </si>
  <si>
    <t>MLB5752909971</t>
  </si>
  <si>
    <t>MLB5436019774</t>
  </si>
  <si>
    <t>MLB6697020653</t>
  </si>
  <si>
    <t>MLB6289233844</t>
  </si>
  <si>
    <t>MLB3540137296</t>
  </si>
  <si>
    <t>MLB3854316681</t>
  </si>
  <si>
    <t>MLB5222971316</t>
  </si>
  <si>
    <t>MLB5927923735</t>
  </si>
  <si>
    <t>MLB6344175247</t>
  </si>
  <si>
    <t>MLB4079815404</t>
  </si>
  <si>
    <t>MLB3284277889</t>
  </si>
  <si>
    <t>MLB3491995979</t>
  </si>
  <si>
    <t>MLB6095476665</t>
  </si>
  <si>
    <t>MLB4149938334</t>
  </si>
  <si>
    <t>MLB5306270004</t>
  </si>
  <si>
    <t>MLB3049310608</t>
  </si>
  <si>
    <t>MLB6246059658</t>
  </si>
  <si>
    <t>MLB4652563013</t>
  </si>
  <si>
    <t>MLB5376087131</t>
  </si>
  <si>
    <t>MLB6800137469</t>
  </si>
  <si>
    <t>MLB6921889760</t>
  </si>
  <si>
    <t>MLB5010258946</t>
  </si>
  <si>
    <t>MLB3013938521</t>
  </si>
  <si>
    <t>MLB6101361778</t>
  </si>
  <si>
    <t>MLB5098545541</t>
  </si>
  <si>
    <t>MLB3083651970</t>
  </si>
  <si>
    <t>MLB6143519183</t>
  </si>
  <si>
    <t>MLB6774081712</t>
  </si>
  <si>
    <t>MLB3248786714</t>
  </si>
  <si>
    <t>MLB4554762903</t>
  </si>
  <si>
    <t>MLB6465071405</t>
  </si>
  <si>
    <t>MLB6856119925</t>
  </si>
  <si>
    <t>MLB5188398760</t>
  </si>
  <si>
    <t>MLB4840109255</t>
  </si>
  <si>
    <t>MLB3367878761</t>
  </si>
  <si>
    <t>MLB5572447412</t>
  </si>
  <si>
    <t>MLB4939118223</t>
  </si>
  <si>
    <t>MLB5150000991</t>
  </si>
  <si>
    <t>MLB3909666337</t>
  </si>
  <si>
    <t>MLB5962958940</t>
  </si>
  <si>
    <t>MLB6571976249</t>
  </si>
  <si>
    <t>MLB3338258951</t>
  </si>
  <si>
    <t>MLB3594130308</t>
  </si>
  <si>
    <t>MLB4320763135</t>
  </si>
  <si>
    <t>MLB5510777721</t>
  </si>
  <si>
    <t>MLB3390452952</t>
  </si>
  <si>
    <t>MLB4605947756</t>
  </si>
  <si>
    <t>MLB4558990517</t>
  </si>
  <si>
    <t>MLB4064746525</t>
  </si>
  <si>
    <t>MLB4603828849</t>
  </si>
  <si>
    <t>MLB4881625505</t>
  </si>
  <si>
    <t>MLB4722989659</t>
  </si>
  <si>
    <t>MLB5277851678</t>
  </si>
  <si>
    <t>MLB6863813067</t>
  </si>
  <si>
    <t>MLB3656439677</t>
  </si>
  <si>
    <t>MLB6274958945</t>
  </si>
  <si>
    <t>MLB3519709079</t>
  </si>
  <si>
    <t>MLB5527331058</t>
  </si>
  <si>
    <t>MLB6961824197</t>
  </si>
  <si>
    <t>MLB3906164396</t>
  </si>
  <si>
    <t>MLB4351531223</t>
  </si>
  <si>
    <t>MLB4059257080</t>
  </si>
  <si>
    <t>MLB6272602734</t>
  </si>
  <si>
    <t>MLB3767303988</t>
  </si>
  <si>
    <t>MLB6919706735</t>
  </si>
  <si>
    <t>MLB6944899549</t>
  </si>
  <si>
    <t>Produto Genérico ACES-002 - Kit 40 Unidades</t>
  </si>
  <si>
    <t>Produto Genérico ACES-002 - Kit 100 Unidades</t>
  </si>
  <si>
    <t>Produto Genérico ACES-002 - Kit 10 Unidades</t>
  </si>
  <si>
    <t>Produto Genérico ACES-002 - Kit 20 Unidades</t>
  </si>
  <si>
    <t>Produto Genérico ACES-002 - Kit 30 Unidades</t>
  </si>
  <si>
    <t>Produto Genérico ACES-002 - Kit 50 Unidades</t>
  </si>
  <si>
    <t>Produto Genérico OXIC-025 - Unidade</t>
  </si>
  <si>
    <t>Produto Genérico MSOL-081 - Unidade</t>
  </si>
  <si>
    <t>Produto Genérico OXIC-021 - Unidade</t>
  </si>
  <si>
    <t>Produto Genérico MSOL-061 - Kit 2 Unidades</t>
  </si>
  <si>
    <t>Produto Genérico MSOL-061 - Kit 3 Unidades</t>
  </si>
  <si>
    <t>Produto Genérico MSOL-061 - Kit 4 Unidades</t>
  </si>
  <si>
    <t>Produto Genérico BROC-011 - Kit 2 Unidades</t>
  </si>
  <si>
    <t>Produto Genérico BROC-011 - Kit 4 Unidades</t>
  </si>
  <si>
    <t>Produto Genérico MSOL-066 - Kit 2 Unidades</t>
  </si>
  <si>
    <t>Produto Genérico MSOL-066 - Kit 3 Unidades</t>
  </si>
  <si>
    <t>Produto Genérico MSOL-066 - Kit 4 Unidades</t>
  </si>
  <si>
    <t>Produto Genérico PROT-060 - Kit 2 Unidades</t>
  </si>
  <si>
    <t>Produto Genérico MIGC-042 - Kit 10 Unidades</t>
  </si>
  <si>
    <t>Produto Genérico PLAS-033 - Kit 5 Unidades</t>
  </si>
  <si>
    <t>Produto Genérico PLAS-033 - Kit 10 Unidades</t>
  </si>
  <si>
    <t>Produto Genérico ELET-069 - Kit 2 Kg</t>
  </si>
  <si>
    <t>Produto Genérico MSOL-062 - Kit 2 Unidades</t>
  </si>
  <si>
    <t>Produto Genérico MSOL-062 - Kit 3 Unidades</t>
  </si>
  <si>
    <t>Produto Genérico PLAS-068 - Kit 5 Unidades</t>
  </si>
  <si>
    <t>Produto Genérico OXIK-046 - Kit 150 Unidades</t>
  </si>
  <si>
    <t>Produto Genérico DISC-071 - Kit 10 Unidades</t>
  </si>
  <si>
    <t>Produto Genérico DISC-071 - Kit 20 Unidades</t>
  </si>
  <si>
    <t>Produto Genérico DISC-071 - Kit 15 Unidades</t>
  </si>
  <si>
    <t>Produto Genérico DISC-071 - Kit 50 Unidades</t>
  </si>
  <si>
    <t>Produto Genérico PLAS-051 - Kit 5 Unidades</t>
  </si>
  <si>
    <t>Produto Genérico MIGC-052 - Kit 10 Unidades</t>
  </si>
  <si>
    <t>Produto Genérico PLAS-075 - Kit 5 Unidades</t>
  </si>
  <si>
    <t>Produto Genérico PLAS-075 - Kit 2 Unidades</t>
  </si>
  <si>
    <t>Produto Genérico PLAS-034 - Kit 10 Unidades</t>
  </si>
  <si>
    <t>Produto Genérico DISC-009 - Kit 10 Unidades</t>
  </si>
  <si>
    <t>Produto Genérico PLAS-031 - Kit 5 Unidades</t>
  </si>
  <si>
    <t>Produto Genérico PLAS-031 - Kit 10 Unidades</t>
  </si>
  <si>
    <t>Produto Genérico DISC-077 - Kit 15 Unidades</t>
  </si>
  <si>
    <t>Produto Genérico DISC-077 - Kit 10 Unidades</t>
  </si>
  <si>
    <t>Produto Genérico DISC-077 - Kit 20 Unidades</t>
  </si>
  <si>
    <t>Produto Genérico DISC-077 - Kit 5 Unidades</t>
  </si>
  <si>
    <t>Produto Genérico DISC-077 - Kit 25 Unidades</t>
  </si>
  <si>
    <t xml:space="preserve">Produto Genérico MIGC-041 - Kit 10 Unidades </t>
  </si>
  <si>
    <t>Produto Genérico ELET-059 - Kit 5 Kg</t>
  </si>
  <si>
    <t>Produto Genérico ELET-059 - Kit 10 Kg</t>
  </si>
  <si>
    <t>Produto Genérico MSOL-080 - Kit 2 Unidades</t>
  </si>
  <si>
    <t>Produto Genérico MIGC-040 - Kit 10 Unidades</t>
  </si>
  <si>
    <t>Produto Genérico DISC-019 - Kit 15 Unidades</t>
  </si>
  <si>
    <t>Produto Genérico MSOL-067 - Kit 2 Unidades</t>
  </si>
  <si>
    <t>Produto Genérico PLAS-056 - Kit 5 Unidades</t>
  </si>
  <si>
    <t>Produto Genérico MSOL-064 - Kit 2 Unidades</t>
  </si>
  <si>
    <t>Produto Genérico DISC-008 - Kit 10 Unidades</t>
  </si>
  <si>
    <t>Produto Genérico DISC-008 - Kit 15 Unidades</t>
  </si>
  <si>
    <t>Produto Genérico DISC-008 - Kit 20 Unidades</t>
  </si>
  <si>
    <t>Produto Genérico DISC-008 - Kit 25 Unidades</t>
  </si>
  <si>
    <t>Produto Genérico DISC-008 - Kit 5 Unidades</t>
  </si>
  <si>
    <t>Produto Genérico DISC-047 - Kit 5 Unidades</t>
  </si>
  <si>
    <t>Produto Genérico DISC-047 - Kit 10 Unidades</t>
  </si>
  <si>
    <t>Produto Genérico DISC-047 - Kit 20 Unidades</t>
  </si>
  <si>
    <t>Produto Genérico DISC-047 - Kit 100 Unidades</t>
  </si>
  <si>
    <t>Produto Genérico DISC-047 - Kit 25 Unidades</t>
  </si>
  <si>
    <t>Produto Genérico DISC-047 - Kit 15 Unidades</t>
  </si>
  <si>
    <t>Produto Genérico DISC-047 - Kit 500 Unidades</t>
  </si>
  <si>
    <t>Produto Genérico DISC-047 - Kit 200 Unidades</t>
  </si>
  <si>
    <t>Produto Genérico DISC-047 - Kit 150 Unidades</t>
  </si>
  <si>
    <t>Produto Genérico DISC-047 - Kit 50 Unidades</t>
  </si>
  <si>
    <t>Produto Genérico DISC-047 - Kit 400 Unidades</t>
  </si>
  <si>
    <t>Produto Genérico DISC-003 - Kit 25 Unidades</t>
  </si>
  <si>
    <t>Produto Genérico DISC-003 - Kit 100 Unidades</t>
  </si>
  <si>
    <t>Produto Genérico DISC-003 - Kit 15 Unidades</t>
  </si>
  <si>
    <t>Produto Genérico DISC-003 - Kit 10 Unidades</t>
  </si>
  <si>
    <t>Produto Genérico DISC-003 - Kit 20 Unidades</t>
  </si>
  <si>
    <t>Produto Genérico DISC-017 - Kit 10 Unidades</t>
  </si>
  <si>
    <t>Produto Genérico DISC-017 - Kit 15 Unidades</t>
  </si>
  <si>
    <t>Produto Genérico DISC-017 - Kit 20 Unidades</t>
  </si>
  <si>
    <t>Produto Genérico PLAS-053 - Kit 5 Unidades</t>
  </si>
  <si>
    <t>Produto Genérico ELET-057 - Kit 2 Kg</t>
  </si>
  <si>
    <t>Produto Genérico DISC-006 - Kit 25 Unidades</t>
  </si>
  <si>
    <t>Produto Genérico DISC-006 - Kit 10 Unidades</t>
  </si>
  <si>
    <t>Produto Genérico DISC-007 - Kit 10 Unidades</t>
  </si>
  <si>
    <t>Produto Genérico DISC-007 - Kit 25 Unidades</t>
  </si>
  <si>
    <t>Produto Genérico MSOL-063 - Kit 2 Unidades</t>
  </si>
  <si>
    <t>Produto Genérico BROC-010 - Kit 2 Unidades</t>
  </si>
  <si>
    <t>Produto Genérico BROC-010 - Kit 4 Unidades</t>
  </si>
  <si>
    <t>Produto Genérico DISC-001 - Kit 25 Unidades</t>
  </si>
  <si>
    <t>Produto Genérico DISC-001 - Kit 10 Unidades</t>
  </si>
  <si>
    <t>Produto Genérico DISC-001 - Kit 50 Unidades</t>
  </si>
  <si>
    <t>Produto Genérico DISC-001 - Kit 100 Unidades</t>
  </si>
  <si>
    <t>Produto Genérico DISC-001 - Kit 125 Unidades</t>
  </si>
  <si>
    <t>Produto Genérico ELET-058 - Kit 5 Kg</t>
  </si>
  <si>
    <t>Produto Genérico PLAS-054 - Kit 5 Unidades</t>
  </si>
  <si>
    <t>Produto Genérico PLAS-054 - Kit 10 Unidades</t>
  </si>
  <si>
    <t>Produto Genérico DISC-072 - Kit 10 Unidades</t>
  </si>
  <si>
    <t>Produto Genérico DISC-072 - Kit 20 Unidades</t>
  </si>
  <si>
    <t>Produto Genérico DISC-072 - Kit 30 Unidades</t>
  </si>
  <si>
    <t>Produto Genérico DISC-072 - Kit 40 Unidades</t>
  </si>
  <si>
    <t>Produto Genérico MSOL-079 - Unidade</t>
  </si>
  <si>
    <t>Produto Genérico MSOL-065 - Unidade</t>
  </si>
  <si>
    <t>Produto Genérico MSOL-065 - Kit 2 Unidades</t>
  </si>
  <si>
    <t>Produto Genérico PLAS-030 - Unidade</t>
  </si>
  <si>
    <t>Produto Genérico PLAS-030 - Kit 5 Unidades</t>
  </si>
  <si>
    <t>Produto Genérico PLAS-030 - Kit 10 Unidades</t>
  </si>
  <si>
    <t>Produto Genérico PLAS-028 - Kit 5 Unidades</t>
  </si>
  <si>
    <t>Produto Genérico OXIC-083 - Unidade</t>
  </si>
  <si>
    <t>Produto Genérico OXIK-090 - Unidade</t>
  </si>
  <si>
    <t>Produto Genérico DISC-005 - Kit 10 Unidades</t>
  </si>
  <si>
    <t>Produto Genérico DISC-005 - Kit 25 Unidades</t>
  </si>
  <si>
    <t>Produto Genérico DISC-005 - Kit 15 Unidades</t>
  </si>
  <si>
    <t>Produto Genérico PLAS-055 - Kit 5 Unidades</t>
  </si>
  <si>
    <t>Produto Genérico PLAS-055 - Unidade</t>
  </si>
  <si>
    <t>Produto Genérico DISC-076 - Kit 10 Unidades</t>
  </si>
  <si>
    <t>Produto Genérico DISC-076 - Kit 20 Unidades</t>
  </si>
  <si>
    <t>Produto Genérico DISC-076 - Kit 25 Unidades</t>
  </si>
  <si>
    <t>Produto Genérico DISC-076 - Kit 50 Unidades</t>
  </si>
  <si>
    <t>Produto Genérico BROC-012 - Unidade</t>
  </si>
  <si>
    <t>Produto Genérico ELET-070 - Kit 2 Kg</t>
  </si>
  <si>
    <t>Produto Genérico ELET-070 - Kit 5 Kg</t>
  </si>
  <si>
    <t>Produto Genérico DISC-018 - Kit 10 Unidades</t>
  </si>
  <si>
    <t>Produto Genérico PLAS-029 - Kit 5 Unidades</t>
  </si>
  <si>
    <t>Produto Genérico PLAS-029 - Unidade</t>
  </si>
  <si>
    <t>Produto Genérico PLAS-032 - Kit 5 Unidades</t>
  </si>
  <si>
    <t>Produto Genérico PLAS-032 - Unidade</t>
  </si>
  <si>
    <t>Produto Genérico PLAS-032 - Kit 10 Unidades</t>
  </si>
  <si>
    <t>Produto Genérico DISC-004 - Kit 25 Unidades</t>
  </si>
  <si>
    <t>Produto Genérico DISC-004 - Kit 50 Unidades</t>
  </si>
  <si>
    <t>Produto Genérico RESF-082 - Unidade</t>
  </si>
  <si>
    <t>Produto Genérico MSOL-061 - Unidade</t>
  </si>
  <si>
    <t>Produto Genérico MSOL-066 - Unidade</t>
  </si>
  <si>
    <t>Produto Genérico PROT-060 - Unidade</t>
  </si>
  <si>
    <t>Produto Genérico PLAS-033 - Unidade</t>
  </si>
  <si>
    <t>Produto Genérico OXIC-048 - Unidade</t>
  </si>
  <si>
    <t>Produto Genérico OXIC-050 - Unidade</t>
  </si>
  <si>
    <t>Produto Genérico OXIC-020 - Unidade</t>
  </si>
  <si>
    <t>Produto Genérico MSOL-062 - Unidade</t>
  </si>
  <si>
    <t>Produto Genérico PLAS-068 - Unidade</t>
  </si>
  <si>
    <t>Produto Genérico MSOL-073 - Unidade</t>
  </si>
  <si>
    <t>Produto Genérico PLAS-051 - Unidade</t>
  </si>
  <si>
    <t>Produto Genérico MIGK-088 - Unidade</t>
  </si>
  <si>
    <t>Produto Genérico MSOL-078 - Unidade</t>
  </si>
  <si>
    <t>Produto Genérico PLAS-075 - Unidade</t>
  </si>
  <si>
    <t>Produto Genérico MIGC-038 - Unidade</t>
  </si>
  <si>
    <t>Produto Genérico CSOL-074 - Unidade</t>
  </si>
  <si>
    <t>Produto Genérico PLAS-031 - Unidade</t>
  </si>
  <si>
    <t>Produto Genérico OXIK-091 - Unidade</t>
  </si>
  <si>
    <t>Produto Genérico MSOL-080 - Unidade</t>
  </si>
  <si>
    <t>Produto Genérico BROC-013 - Unidade</t>
  </si>
  <si>
    <t>Produto Genérico OXIC-037 - Unidade</t>
  </si>
  <si>
    <t>Produto Genérico OXIC-024 - Unidade</t>
  </si>
  <si>
    <t>Produto Genérico MSOL-067 - Unidades</t>
  </si>
  <si>
    <t>Produto Genérico PLAS-056 - Unidade</t>
  </si>
  <si>
    <t>Produto Genérico MSOL-064 - Unidade</t>
  </si>
  <si>
    <t>Produto Genérico DISC-008 - Unidade</t>
  </si>
  <si>
    <t>Produto Genérico OXIK-092 - Unidade</t>
  </si>
  <si>
    <t>Produto Genérico MIGC-039 - Unidade</t>
  </si>
  <si>
    <t>Produto Genérico PLAS-053 - Unidade</t>
  </si>
  <si>
    <t>Produto Genérico OXIC-023 - Unidade</t>
  </si>
  <si>
    <t>Produto Genérico MSOL-063 - Unidade</t>
  </si>
  <si>
    <t>Produto Genérico OXIC-049 - Unidade</t>
  </si>
  <si>
    <t>Produto Genérico DISC-085 - Unidade</t>
  </si>
  <si>
    <t>Produto Genérico BROC-086 - Unidade</t>
  </si>
  <si>
    <t>Produto Genérico OXIC-022 - Unidade</t>
  </si>
  <si>
    <t>Produto Genérico KSOL-089 - Unidade</t>
  </si>
  <si>
    <t>Produto Genérico KSOL-087 - Unidade</t>
  </si>
  <si>
    <t>Produto Genérico PLAS-054 - Unidade</t>
  </si>
  <si>
    <t>Produto Genérico OXIC-084 - Unidade</t>
  </si>
  <si>
    <t>https://http2.mlstatic.com/D_NQ_NP_2X_669301-MLA99498285466_112025-F.webp</t>
  </si>
  <si>
    <t>https://http2.mlstatic.com/D_824421-MLB95390877884_102025-I.jpg</t>
  </si>
  <si>
    <t>https://http2.mlstatic.com/D_NQ_NP_2X_749111-MLB91657300149_092025-F.webp</t>
  </si>
  <si>
    <t>https://http2.mlstatic.com/D_NQ_NP_2X_677305-MLA109112642207_032026-F.webp</t>
  </si>
  <si>
    <t>https://http2.mlstatic.com/D_NQ_NP_2X_934336-MLB108954898863_032026-F.webp</t>
  </si>
  <si>
    <t>https://http2.mlstatic.com/D_NQ_NP_2X_616390-MLB108630928473_032026-F.webp</t>
  </si>
  <si>
    <t>https://http2.mlstatic.com/D_NQ_NP_2X_610561-MLA114374813597_072026-F.webp</t>
  </si>
  <si>
    <t>https://http2.mlstatic.com/D_NQ_NP_2X_729756-MLB91972533102_092025-F.webp</t>
  </si>
  <si>
    <t>https://http2.mlstatic.com/D_NQ_NP_2X_983466-MLB102470879344_122025-F.webp</t>
  </si>
  <si>
    <t>http://http2.mlstatic.com/D_NQ_NP_2X_958630-MLB106472274970_022026-F.webp</t>
  </si>
  <si>
    <t>https://http2.mlstatic.com/D_NQ_NP_2X_618511-MLB91348670654_092025-F.webp</t>
  </si>
  <si>
    <t>https://http2.mlstatic.com/D_NQ_NP_2X_834311-MLB105257873141_012026-F.webp</t>
  </si>
  <si>
    <t>https://http2.mlstatic.com/D_NQ_NP_2X_752507-MLA99533173362_122025-F.webp</t>
  </si>
  <si>
    <t>https://http2.mlstatic.com/D_NQ_NP_2X_986859-MLB107694459570_032026-F.webp</t>
  </si>
  <si>
    <t>https://http2.mlstatic.com/D_NQ_NP_2X_801375-MLB74868697143_032024-F.webp</t>
  </si>
  <si>
    <t>https://http2.mlstatic.com/D_Q_NP_854956-MLA111072855098_052026-B.webp</t>
  </si>
  <si>
    <t>https://http2.mlstatic.com/D_Q_NP_824687-MLB108016876763_032026-B.webp</t>
  </si>
  <si>
    <t>https://http2.mlstatic.com/D_NQ_NP_2X_791778-MLB109111095073_032026-F.webp</t>
  </si>
  <si>
    <t>https://http2.mlstatic.com/D_NQ_NP_2X_909753-MLB108472947252_032026-F.webp</t>
  </si>
  <si>
    <t>https://http2.mlstatic.com/D_NQ_NP_2X_786766-MLB91668551761_092025-F.webp</t>
  </si>
  <si>
    <t>https://http2.mlstatic.com/D_Q_NP_662164-MLB107466757438_032026-F.webp</t>
  </si>
  <si>
    <t>https://http2.mlstatic.com/D_NQ_NP_2X_822940-MLB91271780228_092025-F.webp</t>
  </si>
  <si>
    <t>https://http2.mlstatic.com/D_NQ_NP_2X_829315-MLB91718469815_092025-F.webp</t>
  </si>
  <si>
    <t>https://http2.mlstatic.com/D_NQ_NP_2X_842076-MLB108479331709_032026-F.webp</t>
  </si>
  <si>
    <t>https://http2.mlstatic.com/D_NQ_NP_2X_838828-MLB105406580388_012026-F.webp</t>
  </si>
  <si>
    <t>https://http2.mlstatic.com/D_NQ_NP_2X_820012-MLB92375043235_092025-F.webp</t>
  </si>
  <si>
    <t>https://http2.mlstatic.com/D_NQ_NP_2X_726397-MLB91329379174_092025-F.webp</t>
  </si>
  <si>
    <t>https://http2.mlstatic.com/D_NQ_NP_2X_635928-MLB93287421838_092025-F.webp</t>
  </si>
  <si>
    <t>https://http2.mlstatic.com/D_NQ_NP_2X_936222-MLB108243600240_032026-F.webp</t>
  </si>
  <si>
    <t>https://http2.mlstatic.com/D_NQ_NP_2X_920356-MLB105354745803_012026-F.webp</t>
  </si>
  <si>
    <t>https://http2.mlstatic.com/D_NQ_NP_2X_982524-MLA107571134235_022026-F.webp</t>
  </si>
  <si>
    <t>https://http2.mlstatic.com/D_NQ_NP_2X_843594-MLA99940032451_112025-F.webp</t>
  </si>
  <si>
    <t>https://http2.mlstatic.com/D_NQ_NP_2X_649521-MLA110678649896_052026-F.webp</t>
  </si>
  <si>
    <t>https://http2.mlstatic.com/D_Q_NP_730797-MLA111640508863_052026-B.webp</t>
  </si>
  <si>
    <t>https://raw.githubusercontent.com/matheusguimaraesdata/imagens-produtos/main/D_NQ_NP_2X_759789-MLA95733881438_102025-F.webp</t>
  </si>
  <si>
    <t>https://http2.mlstatic.com/D_NQ_NP_2X_884516-MLB91288059366_092025-F-kit-maquina-de-solda-mascara-5kg-eletrodo-6013-25mm-preto-127220v.webp</t>
  </si>
  <si>
    <t>https://http2.mlstatic.com/D_NQ_NP_2X_891156-MLB104789124562_012026-F.webp</t>
  </si>
  <si>
    <t>https://http2.mlstatic.com/D_NQ_NP_2X_962883-MLB91320194366_092025-F.webp</t>
  </si>
  <si>
    <t>https://http2.mlstatic.com/D_NQ_NP_2X_657667-MLA109885764285_032026-F-macarico-de-aquecimento-fox-maq300-profissional-para-glp-gn-e-acetileno.webp</t>
  </si>
  <si>
    <t>https://http2.mlstatic.com/D_NQ_NP_2X_737049-MLA96419081201_102025-F.webp</t>
  </si>
  <si>
    <t>https://http2.mlstatic.com/D_Q_NP_853092-MLB109036894477_032026-B.webp</t>
  </si>
  <si>
    <t>https://http2.mlstatic.com/D_NQ_NP_2X_873871-MLB105313912436_012026-F.webp</t>
  </si>
  <si>
    <t>https://http2.mlstatic.com/D_NQ_NP_2X_731773-MLB111898114707_052026-F.webp</t>
  </si>
  <si>
    <t>https://http2.mlstatic.com/D_NQ_NP_2X_751507-MLA109096688790_042026-F.webp</t>
  </si>
  <si>
    <t>https://http2.mlstatic.com/D_NQ_NP_2X_747854-MLB91285348594_092025-F.webp</t>
  </si>
  <si>
    <t>https://http2.mlstatic.com/D_Q_NP_730163-MLB108185858819_032026-F-kit-5-cartuchos-finecut-428928-corte-plasma-powermax-30-45a.webp</t>
  </si>
  <si>
    <t>https://http2.mlstatic.com/D_NQ_NP_2X_687675-MLA99990297861_112025-F.webp</t>
  </si>
  <si>
    <t>https://http2.mlstatic.com/D_NQ_NP_2X_688325-MLB108016828449_032026-F.webp</t>
  </si>
  <si>
    <t>https://http2.mlstatic.com/D_NQ_NP_2X_913258-MLB110113949141_042026-F.webp</t>
  </si>
  <si>
    <t>https://http2.mlstatic.com/D_NQ_NP_2X_927804-MLB108371976647_032026-F.webp</t>
  </si>
  <si>
    <t>https://http2.mlstatic.com/D_NQ_NP_2X_944340-MLA99479767474_112025-F.webp</t>
  </si>
  <si>
    <t>https://http2.mlstatic.com/D_NQ_NP_2X_885265-MLA109463872377_032026-F.webp</t>
  </si>
  <si>
    <t>https://raw.githubusercontent.com/matheusguimaraesdata/imagens-produtos/refs/heads/main/Broca%20Pferd%2032.png</t>
  </si>
  <si>
    <t>Produto Genérico DESB-046 - Kit 150 Unidades</t>
  </si>
  <si>
    <t>https://raw.githubusercontent.com/matheusguimaraesdata/imagens-produtos/refs/heads/main/FM-330%20MIG%20IMG%20ISOMETRICA%201200X1200.png</t>
  </si>
  <si>
    <t>https://github.com/matheusguimaraesdata/imagens-produtos/blob/main/BICO.png?raw=true</t>
  </si>
  <si>
    <t>https://github.com/matheusguimaraesdata/imagens-produtos/blob/main/HA-428934.png?raw=true</t>
  </si>
  <si>
    <t>https://github.com/matheusguimaraesdata/imagens-produtos/blob/main/ENI-CI%202,5.png?raw=true</t>
  </si>
  <si>
    <t>https://github.com/matheusguimaraesdata/imagens-produtos/blob/main/FE-255%20ARC%20IMG%20ISOMETRICA%201200X1200.png?raw=true</t>
  </si>
  <si>
    <t>https://github.com/matheusguimaraesdata/imagens-produtos/blob/main/HA-428932%20PLASMA.png?raw=true</t>
  </si>
  <si>
    <t>https://github.com/matheusguimaraesdata/imagens-produtos/blob/main/FT-300%20TIG.png?raw=true</t>
  </si>
  <si>
    <t>https://github.com/matheusguimaraesdata/imagens-produtos/blob/main/HYP-428938%20PLASMA.png?raw=true</t>
  </si>
  <si>
    <t>https://github.com/matheusguimaraesdata/imagens-produtos/blob/main/KIT%20MIG.png?raw=true</t>
  </si>
  <si>
    <t>https://github.com/matheusguimaraesdata/imagens-produtos/blob/main/FT-500PW%20ADCD.png?raw=true</t>
  </si>
  <si>
    <t>https://github.com/matheusguimaraesdata/imagens-produtos/blob/main/FL-550%20LASER.png?raw=true</t>
  </si>
  <si>
    <t>https://github.com/matheusguimaraesdata/imagens-produtos/blob/main/BICO%20MAC%20BMA-300.png?raw=true</t>
  </si>
  <si>
    <t>https://github.com/matheusguimaraesdata/imagens-produtos/blob/main/FP-65%20CUT%20IMG%20ISOMETRICA%201200X1200.png?raw=true</t>
  </si>
  <si>
    <t>https://github.com/matheusguimaraesdata/imagens-produtos/blob/main/REG%20ARG%C3%94NIO.png?raw=true</t>
  </si>
  <si>
    <t>https://github.com/matheusguimaraesdata/imagens-produtos/blob/main/FE-305%20ARC%20IMG%20VISTA%20ISOMETRICA%201200X1200.png?raw=true</t>
  </si>
  <si>
    <t>https://github.com/matheusguimaraesdata/imagens-produtos/blob/main/BROCA%20PFERD%20LS%2022.png?raw=true</t>
  </si>
  <si>
    <t>https://github.com/matheusguimaraesdata/imagens-produtos/blob/main/REG%20ACETILENO.png?raw=true</t>
  </si>
  <si>
    <t>https://github.com/matheusguimaraesdata/imagens-produtos/blob/main/FP-100%20CUT.png?raw=true</t>
  </si>
  <si>
    <t>https://github.com/matheusguimaraesdata/imagens-produtos/blob/main/HYP%20-%20428926%20PLASMA.png?raw=true</t>
  </si>
  <si>
    <t>https://github.com/matheusguimaraesdata/imagens-produtos/blob/main/FM-330%20MIG%20IMG%20ISOMETRICA%201200X1200.png?raw=true</t>
  </si>
  <si>
    <t>https://github.com/matheusguimaraesdata/imagens-produtos/blob/main/BICO%20DE%20CORTE%201503.png?raw=true</t>
  </si>
  <si>
    <t>https://github.com/matheusguimaraesdata/imagens-produtos/blob/main/ENIFE-CI%202,5.png?raw=true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</si>
</sst>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2"/>
    <xf numFmtId="0" fontId="2" fillId="0" borderId="0" xfId="2" applyFill="1"/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NumberFormat="1" applyAlignment="1">
      <alignment horizontal="left" vertical="center"/>
    </xf>
    <xf numFmtId="2" fontId="0" fillId="0" borderId="0" xfId="3" applyNumberFormat="1" applyFont="1"/>
    <xf numFmtId="0" fontId="2" fillId="0" borderId="0" xfId="2" applyNumberFormat="1"/>
  </cellXfs>
  <cellStyles count="4">
    <cellStyle name="Hiperlink" xfId="2" builtinId="8"/>
    <cellStyle name="Moeda 2" xfId="1" xr:uid="{2881C1B6-3602-4B05-AD78-FBCFCAEA208B}"/>
    <cellStyle name="Normal" xfId="0" builtinId="0"/>
    <cellStyle name="Porcentagem" xfId="3" builtinId="5"/>
  </cellStyles>
  <dxfs count="20"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alignment horizontal="left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060BDCEA-546E-44FE-9012-612A243C2354}" autoFormatId="16" applyNumberFormats="0" applyBorderFormats="0" applyFontFormats="0" applyPatternFormats="0" applyAlignmentFormats="0" applyWidthHeightFormats="0">
  <queryTableRefresh nextId="8" unboundColumnsLeft="1">
    <queryTableFields count="4">
      <queryTableField id="5" dataBound="0" tableColumnId="5"/>
      <queryTableField id="3" name="estoque" tableColumnId="3"/>
      <queryTableField id="2" name="produto" tableColumnId="2"/>
      <queryTableField id="4" name="preco_unit_sistema" tableColumnId="4"/>
    </queryTableFields>
    <queryTableDeletedFields count="1">
      <deletedField name="sku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EB1AEDD2-8EE3-4072-962D-6E1A2A26FAD8}" autoFormatId="16" applyNumberFormats="0" applyBorderFormats="0" applyFontFormats="0" applyPatternFormats="0" applyAlignmentFormats="0" applyWidthHeightFormats="0">
  <queryTableRefresh nextId="10" unboundColumnsRight="3">
    <queryTableFields count="8">
      <queryTableField id="1" name="sku" tableColumnId="1"/>
      <queryTableField id="2" name="sku_anuncio" tableColumnId="2"/>
      <queryTableField id="3" name="anuncio_ml" tableColumnId="3"/>
      <queryTableField id="6" dataBound="0" tableColumnId="6"/>
      <queryTableField id="4" name="estoque_sistema" tableColumnId="4"/>
      <queryTableField id="8" dataBound="0" tableColumnId="8"/>
      <queryTableField id="9" dataBound="0" tableColumnId="9"/>
      <queryTableField id="5" dataBound="0" tableColumnId="5"/>
    </queryTableFields>
    <queryTableDeletedFields count="1">
      <deletedField name="estoque_anuncio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76787FB-CC1F-4FEC-B6AD-740FD84D8D60}" autoFormatId="16" applyNumberFormats="0" applyBorderFormats="0" applyFontFormats="0" applyPatternFormats="0" applyAlignmentFormats="0" applyWidthHeightFormats="0">
  <queryTableRefresh nextId="22">
    <queryTableFields count="21">
      <queryTableField id="1" name="sku" tableColumnId="1"/>
      <queryTableField id="2" name="sku_anuncio" tableColumnId="2"/>
      <queryTableField id="3" name="anuncio_ml" tableColumnId="3"/>
      <queryTableField id="20" dataBound="0" tableColumnId="20"/>
      <queryTableField id="4" name="quantidade_anuncio" tableColumnId="4"/>
      <queryTableField id="5" name="preco_unit" tableColumnId="5"/>
      <queryTableField id="6" name="preco_min_unit" tableColumnId="6"/>
      <queryTableField id="7" name="custo_produto" tableColumnId="7"/>
      <queryTableField id="8" name="perc_desconto_min" tableColumnId="8"/>
      <queryTableField id="9" name="valor_min_produto" tableColumnId="9"/>
      <queryTableField id="10" name="tipo_anuncio" tableColumnId="10"/>
      <queryTableField id="11" name="perc_comissao" tableColumnId="11"/>
      <queryTableField id="12" name="valor_tipo" tableColumnId="12"/>
      <queryTableField id="13" name="frete" tableColumnId="13"/>
      <queryTableField id="14" name="markup_promo" tableColumnId="14"/>
      <queryTableField id="21" dataBound="0" tableColumnId="21"/>
      <queryTableField id="15" name="custo_total_promo" tableColumnId="15"/>
      <queryTableField id="16" name="preco_sugerido" tableColumnId="16"/>
      <queryTableField id="17" name="atacado_1" tableColumnId="17"/>
      <queryTableField id="18" name="atacado_2" tableColumnId="18"/>
      <queryTableField id="19" name="categori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2F2B68-26A3-4647-A5DC-8218EFAFBD45}" name="dim_produtos" displayName="dim_produtos_1" ref="A1:D93" tableType="queryTable" totalsRowShown="0">
  <autoFilter ref="A1:D93" xr:uid="{2E2F2B68-26A3-4647-A5DC-8218EFAFBD45}"/>
  <sortState xmlns:xlrd2="http://schemas.microsoft.com/office/spreadsheetml/2017/richdata2" ref="A2:D93">
    <sortCondition descending="1" ref="A1:A93"/>
  </sortState>
  <tableColumns count="4">
    <tableColumn id="5" xr3:uid="{6032CB44-2BA0-4C89-99E5-05B0F249E3EF}" uniqueName="5" name="sku" queryTableFieldId="5" dataDxfId="19"/>
    <tableColumn id="3" xr3:uid="{B26C6C88-0BF0-45F0-8A29-AD342490EAE4}" uniqueName="3" name="estoque_sistema" queryTableFieldId="3" dataDxfId="18"/>
    <tableColumn id="2" xr3:uid="{7621BC9F-B9F0-40FB-8DB2-49C772F46F2E}" uniqueName="2" name="produto" queryTableFieldId="2" dataDxfId="17"/>
    <tableColumn id="4" xr3:uid="{CD6911F3-23EF-45D0-A50E-FAF68FF758A8}" uniqueName="4" name="preco_unit_sistema" queryTableField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1238D-C4D9-4FD8-A824-AA7B27DE9BC6}" name="fact_estoque2" displayName="fact_estoque2" ref="A1:H167" tableType="queryTable" totalsRowShown="0">
  <autoFilter ref="A1:H167" xr:uid="{F171238D-C4D9-4FD8-A824-AA7B27DE9BC6}"/>
  <sortState xmlns:xlrd2="http://schemas.microsoft.com/office/spreadsheetml/2017/richdata2" ref="A2:H167">
    <sortCondition ref="A1:A167"/>
  </sortState>
  <tableColumns count="8">
    <tableColumn id="1" xr3:uid="{1BBD0B38-F7F5-4856-BF6D-C931A5841EFD}" uniqueName="1" name="sku" queryTableFieldId="1"/>
    <tableColumn id="2" xr3:uid="{F37E721D-0E98-4764-B96B-F1D91D5D6C5A}" uniqueName="2" name="sku_anuncio" queryTableFieldId="2" dataDxfId="16"/>
    <tableColumn id="3" xr3:uid="{41404980-822F-4EE4-9B98-F6568049A68B}" uniqueName="3" name="anuncio_ml" queryTableFieldId="3" dataDxfId="15"/>
    <tableColumn id="6" xr3:uid="{DF1B3A02-C8BD-4E87-95B1-AA634C54CFCC}" uniqueName="6" name="quantidade_anuncio" queryTableFieldId="6"/>
    <tableColumn id="4" xr3:uid="{912C3C05-0338-43A6-92DC-E81393D44E3E}" uniqueName="4" name="estoque_sistema" queryTableFieldId="4"/>
    <tableColumn id="8" xr3:uid="{0126B85D-D92A-4704-A68A-DC9EEEE58088}" uniqueName="8" name="unidade" queryTableFieldId="8"/>
    <tableColumn id="9" xr3:uid="{88372BD0-BB05-4889-BD9F-1604C651670E}" uniqueName="9" name="estoque_alocado" queryTableFieldId="9" dataDxfId="14">
      <calculatedColumnFormula>INT(fact_estoque2[[#This Row],[estoque_sistema]]/fact_estoque2[[#This Row],[quantidade_anuncio]])</calculatedColumnFormula>
    </tableColumn>
    <tableColumn id="5" xr3:uid="{09A0FE9B-1793-4879-95D3-55D3CD810F70}" uniqueName="5" name="anuncio" queryTableField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282814-40C9-4261-A3C9-FA074B90E4B3}" name="fact_anuncios" displayName="fact_anuncios" ref="A1:U167" tableType="queryTable" totalsRowShown="0">
  <autoFilter ref="A1:U167" xr:uid="{57282814-40C9-4261-A3C9-FA074B90E4B3}"/>
  <sortState xmlns:xlrd2="http://schemas.microsoft.com/office/spreadsheetml/2017/richdata2" ref="A2:U167">
    <sortCondition ref="A1:A167"/>
  </sortState>
  <tableColumns count="21">
    <tableColumn id="1" xr3:uid="{9D5B80C5-1F86-4886-B95A-2089D29ED11E}" uniqueName="1" name="sku" queryTableFieldId="1"/>
    <tableColumn id="2" xr3:uid="{8F5BBB87-7D34-4B1C-813B-D038C65478F1}" uniqueName="2" name="sku_anuncio" queryTableFieldId="2" dataDxfId="13"/>
    <tableColumn id="3" xr3:uid="{DB2FF2A2-A794-4179-9B87-F13BF00FBBB8}" uniqueName="3" name="anuncio_ml" queryTableFieldId="3" dataDxfId="12"/>
    <tableColumn id="20" xr3:uid="{7BC8F690-A794-41F7-B766-2FF3CEAB5013}" uniqueName="20" name="imagem" queryTableFieldId="20" dataCellStyle="Hiperlink"/>
    <tableColumn id="4" xr3:uid="{F1E53404-D6BD-46DB-94FC-78A4321B57E6}" uniqueName="4" name="quantidade_anuncio" queryTableFieldId="4"/>
    <tableColumn id="5" xr3:uid="{320161CB-7A18-4402-B710-E2D860BF823E}" uniqueName="5" name="preco_unit" queryTableFieldId="5" dataDxfId="11"/>
    <tableColumn id="6" xr3:uid="{D96D55F4-D65E-4A3E-9F35-5C672F4805DF}" uniqueName="6" name="preco_min_unit" queryTableFieldId="6" dataDxfId="10"/>
    <tableColumn id="7" xr3:uid="{EA1F6A26-410D-4F90-86C1-EB2ACCC76E56}" uniqueName="7" name="custo_produto" queryTableFieldId="7" dataDxfId="9"/>
    <tableColumn id="8" xr3:uid="{4E90CE88-2FA7-4991-B18E-A8F2E223673D}" uniqueName="8" name="perc_desconto_min" queryTableFieldId="8"/>
    <tableColumn id="9" xr3:uid="{0242F07B-CD25-47B2-88BB-0442ABF832A0}" uniqueName="9" name="valor_min_produto" queryTableFieldId="9" dataDxfId="8"/>
    <tableColumn id="10" xr3:uid="{6F21D9E9-572C-4C14-96B2-B947EEA73605}" uniqueName="10" name="tipo_anuncio" queryTableFieldId="10"/>
    <tableColumn id="11" xr3:uid="{0CD430AC-7217-435A-95AF-5415EF5CBA18}" uniqueName="11" name="perc_comissao" queryTableFieldId="11"/>
    <tableColumn id="12" xr3:uid="{5B260313-4438-4BB8-B80E-B84957799273}" uniqueName="12" name="valor_tipo" queryTableFieldId="12" dataDxfId="7"/>
    <tableColumn id="13" xr3:uid="{52456FE4-2043-478D-BB0E-9815368C2B8E}" uniqueName="13" name="frete" queryTableFieldId="13" dataDxfId="6"/>
    <tableColumn id="14" xr3:uid="{E8B343EA-8A41-4821-9830-3566271DFCF3}" uniqueName="14" name="markup_promo" queryTableFieldId="14" dataDxfId="5"/>
    <tableColumn id="21" xr3:uid="{2579BB16-D394-4018-953B-71453929EC1E}" uniqueName="21" name="custo_total_taxa" queryTableFieldId="21" dataDxfId="4">
      <calculatedColumnFormula>fact_anuncios[[#This Row],[valor_tipo]]+fact_anuncios[[#This Row],[frete]]</calculatedColumnFormula>
    </tableColumn>
    <tableColumn id="15" xr3:uid="{72C1F0E0-4254-4742-BB71-2414CE6A3924}" uniqueName="15" name="custo_total_promo" queryTableFieldId="15" dataDxfId="3"/>
    <tableColumn id="16" xr3:uid="{36B06272-4A1F-4FB1-B0F5-E31A428D9D60}" uniqueName="16" name="preco_sugerido" queryTableFieldId="16" dataDxfId="2"/>
    <tableColumn id="17" xr3:uid="{4A767E1F-1325-47F0-9C0D-4A543507C9EC}" uniqueName="17" name="atacado_1" queryTableFieldId="17" dataDxfId="1"/>
    <tableColumn id="18" xr3:uid="{CEB677F4-E931-4B4C-8BEB-6D44A126824C}" uniqueName="18" name="atacado_2" queryTableFieldId="18" dataDxfId="0"/>
    <tableColumn id="19" xr3:uid="{FFCF1DEC-3C2C-4FCF-B942-1CA37A48822F}" uniqueName="19" name="categoria" queryTableField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6DE75A-A172-4744-8721-818F351584C0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4ac66779-45f5-4932-a8e6-aef166a80f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http2.mlstatic.com/D_Q_NP_824687-MLB108016876763_032026-B.webp" TargetMode="External"/><Relationship Id="rId18" Type="http://schemas.openxmlformats.org/officeDocument/2006/relationships/hyperlink" Target="https://http2.mlstatic.com/D_NQ_NP_2X_936222-MLB108243600240_032026-F.webp" TargetMode="External"/><Relationship Id="rId26" Type="http://schemas.openxmlformats.org/officeDocument/2006/relationships/hyperlink" Target="https://http2.mlstatic.com/D_NQ_NP_2X_927804-MLB108371976647_032026-F.webp" TargetMode="External"/><Relationship Id="rId39" Type="http://schemas.openxmlformats.org/officeDocument/2006/relationships/hyperlink" Target="https://http2.mlstatic.com/D_Q_NP_662164-MLB107466757438_032026-F.webp" TargetMode="External"/><Relationship Id="rId21" Type="http://schemas.openxmlformats.org/officeDocument/2006/relationships/hyperlink" Target="https://http2.mlstatic.com/D_NQ_NP_2X_913258-MLB110113949141_042026-F.webp" TargetMode="External"/><Relationship Id="rId34" Type="http://schemas.openxmlformats.org/officeDocument/2006/relationships/hyperlink" Target="https://http2.mlstatic.com/D_NQ_NP_2X_677305-MLA109112642207_032026-F.webp" TargetMode="External"/><Relationship Id="rId42" Type="http://schemas.openxmlformats.org/officeDocument/2006/relationships/hyperlink" Target="https://http2.mlstatic.com/D_NQ_NP_2X_891156-MLB104789124562_012026-F.webp" TargetMode="External"/><Relationship Id="rId47" Type="http://schemas.openxmlformats.org/officeDocument/2006/relationships/hyperlink" Target="https://http2.mlstatic.com/D_NQ_NP_2X_669301-MLA99498285466_112025-F.webp" TargetMode="External"/><Relationship Id="rId50" Type="http://schemas.openxmlformats.org/officeDocument/2006/relationships/hyperlink" Target="https://http2.mlstatic.com/D_NQ_NP_2X_822940-MLB91271780228_092025-F.webp" TargetMode="External"/><Relationship Id="rId55" Type="http://schemas.openxmlformats.org/officeDocument/2006/relationships/hyperlink" Target="https://http2.mlstatic.com/D_NQ_NP_2X_983466-MLB102470879344_122025-F.webp" TargetMode="External"/><Relationship Id="rId63" Type="http://schemas.openxmlformats.org/officeDocument/2006/relationships/hyperlink" Target="https://http2.mlstatic.com/D_Q_NP_854956-MLA111072855098_052026-B.webp" TargetMode="External"/><Relationship Id="rId68" Type="http://schemas.openxmlformats.org/officeDocument/2006/relationships/hyperlink" Target="https://http2.mlstatic.com/D_Q_NP_730797-MLA111640508863_052026-B.webp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https://http2.mlstatic.com/D_NQ_NP_2X_982524-MLA107571134235_022026-F.webp" TargetMode="External"/><Relationship Id="rId71" Type="http://schemas.openxmlformats.org/officeDocument/2006/relationships/hyperlink" Target="https://http2.mlstatic.com/D_NQ_NP_2X_986859-MLB107694459570_032026-F.webp" TargetMode="External"/><Relationship Id="rId2" Type="http://schemas.openxmlformats.org/officeDocument/2006/relationships/hyperlink" Target="https://http2.mlstatic.com/D_NQ_NP_2X_824421-MLB95390877884_102025-F.webp" TargetMode="External"/><Relationship Id="rId16" Type="http://schemas.openxmlformats.org/officeDocument/2006/relationships/hyperlink" Target="https://http2.mlstatic.com/D_NQ_NP_2X_786766-MLB91668551761_092025-F.webp" TargetMode="External"/><Relationship Id="rId29" Type="http://schemas.openxmlformats.org/officeDocument/2006/relationships/hyperlink" Target="https://http2.mlstatic.com/D_NQ_NP_2X_618511-MLB91348670654_092025-F.webp" TargetMode="External"/><Relationship Id="rId11" Type="http://schemas.openxmlformats.org/officeDocument/2006/relationships/hyperlink" Target="https://http2.mlstatic.com/D_NQ_NP_2X_829315-MLB91718469815_092025-F.webp" TargetMode="External"/><Relationship Id="rId24" Type="http://schemas.openxmlformats.org/officeDocument/2006/relationships/hyperlink" Target="https://http2.mlstatic.com/D_NQ_NP_2X_873871-MLB105313912436_012026-F.webp" TargetMode="External"/><Relationship Id="rId32" Type="http://schemas.openxmlformats.org/officeDocument/2006/relationships/hyperlink" Target="https://http2.mlstatic.com/D_NQ_NP_2X_838828-MLB105406580388_012026-F.webp" TargetMode="External"/><Relationship Id="rId37" Type="http://schemas.openxmlformats.org/officeDocument/2006/relationships/hyperlink" Target="https://http2.mlstatic.com/D_Q_NP_730163-MLB108185858819_032026-F-kit-5-cartuchos-finecut-428928-corte-plasma-powermax-30-45a.webp" TargetMode="External"/><Relationship Id="rId40" Type="http://schemas.openxmlformats.org/officeDocument/2006/relationships/hyperlink" Target="https://http2.mlstatic.com/D_Q_NP_662164-MLB107466757438_032026-F.webp" TargetMode="External"/><Relationship Id="rId45" Type="http://schemas.openxmlformats.org/officeDocument/2006/relationships/hyperlink" Target="https://http2.mlstatic.com/D_NQ_NP_2X_749111-MLB91657300149_092025-F.webp" TargetMode="External"/><Relationship Id="rId53" Type="http://schemas.openxmlformats.org/officeDocument/2006/relationships/hyperlink" Target="https://http2.mlstatic.com/D_NQ_NP_2X_737049-MLA96419081201_102025-F.webp" TargetMode="External"/><Relationship Id="rId58" Type="http://schemas.openxmlformats.org/officeDocument/2006/relationships/hyperlink" Target="https://http2.mlstatic.com/D_NQ_NP_2X_687675-MLA99990297861_112025-F.webp" TargetMode="External"/><Relationship Id="rId66" Type="http://schemas.openxmlformats.org/officeDocument/2006/relationships/hyperlink" Target="https://http2.mlstatic.com/D_NQ_NP_2X_657667-MLA109885764285_032026-F-macarico-de-aquecimento-fox-maq300-profissional-para-glp-gn-e-acetileno.webp" TargetMode="External"/><Relationship Id="rId74" Type="http://schemas.openxmlformats.org/officeDocument/2006/relationships/hyperlink" Target="https://http2.mlstatic.com/D_NQ_NP_2X_688325-MLB108016828449_032026-F.webp" TargetMode="External"/><Relationship Id="rId5" Type="http://schemas.openxmlformats.org/officeDocument/2006/relationships/hyperlink" Target="https://http2.mlstatic.com/D_NQ_NP_2X_944340-MLA99479767474_112025-F.webp" TargetMode="External"/><Relationship Id="rId15" Type="http://schemas.openxmlformats.org/officeDocument/2006/relationships/hyperlink" Target="https://http2.mlstatic.com/D_NQ_NP_2X_786766-MLB91668551761_092025-F.webp" TargetMode="External"/><Relationship Id="rId23" Type="http://schemas.openxmlformats.org/officeDocument/2006/relationships/hyperlink" Target="https://http2.mlstatic.com/D_NQ_NP_2X_873871-MLB105313912436_012026-F.webp" TargetMode="External"/><Relationship Id="rId28" Type="http://schemas.openxmlformats.org/officeDocument/2006/relationships/hyperlink" Target="https://http2.mlstatic.com/D_NQ_NP_2X_684967-MLB104699512970_012026-F.webp" TargetMode="External"/><Relationship Id="rId36" Type="http://schemas.openxmlformats.org/officeDocument/2006/relationships/hyperlink" Target="https://http2.mlstatic.com/D_NQ_NP_660519-MLB105314998184_012026-OO.jpg" TargetMode="External"/><Relationship Id="rId49" Type="http://schemas.openxmlformats.org/officeDocument/2006/relationships/hyperlink" Target="https://http2.mlstatic.com/D_NQ_NP_2X_822940-MLB91271780228_092025-F.webp" TargetMode="External"/><Relationship Id="rId57" Type="http://schemas.openxmlformats.org/officeDocument/2006/relationships/hyperlink" Target="https://http2.mlstatic.com/D_NQ_NP_2X_687675-MLA99990297861_112025-F.webp" TargetMode="External"/><Relationship Id="rId61" Type="http://schemas.openxmlformats.org/officeDocument/2006/relationships/hyperlink" Target="https://http2.mlstatic.com/D_Q_NP_853092-MLB109036894477_032026-B.webp" TargetMode="External"/><Relationship Id="rId10" Type="http://schemas.openxmlformats.org/officeDocument/2006/relationships/hyperlink" Target="https://http2.mlstatic.com/D_NQ_NP_2X_843594-MLA99940032451_112025-F.webp" TargetMode="External"/><Relationship Id="rId19" Type="http://schemas.openxmlformats.org/officeDocument/2006/relationships/hyperlink" Target="https://http2.mlstatic.com/D_NQ_NP_2X_791778-MLB109111095073_032026-F.webp" TargetMode="External"/><Relationship Id="rId31" Type="http://schemas.openxmlformats.org/officeDocument/2006/relationships/hyperlink" Target="https://http2.mlstatic.com/D_NQ_NP_2X_909753-MLB108472947252_032026-F.webp" TargetMode="External"/><Relationship Id="rId44" Type="http://schemas.openxmlformats.org/officeDocument/2006/relationships/hyperlink" Target="https://http2.mlstatic.com/D_NQ_NP_2X_801375-MLB74868697143_032024-F.webp" TargetMode="External"/><Relationship Id="rId52" Type="http://schemas.openxmlformats.org/officeDocument/2006/relationships/hyperlink" Target="https://http2.mlstatic.com/D_NQ_NP_2X_737049-MLA96419081201_102025-F.webp" TargetMode="External"/><Relationship Id="rId60" Type="http://schemas.openxmlformats.org/officeDocument/2006/relationships/hyperlink" Target="https://http2.mlstatic.com/D_NQ_NP_2X_752507-MLA99533173362_122025-F.webp" TargetMode="External"/><Relationship Id="rId65" Type="http://schemas.openxmlformats.org/officeDocument/2006/relationships/hyperlink" Target="https://http2.mlstatic.com/D_NQ_NP_2X_751507-MLA109096688790_042026-F.webp" TargetMode="External"/><Relationship Id="rId73" Type="http://schemas.openxmlformats.org/officeDocument/2006/relationships/hyperlink" Target="https://http2.mlstatic.com/D_NQ_NP_2X_610561-MLA114374813597_072026-F.webp" TargetMode="External"/><Relationship Id="rId4" Type="http://schemas.openxmlformats.org/officeDocument/2006/relationships/hyperlink" Target="https://http2.mlstatic.com/D_NQ_NP_2X_944340-MLA99479767474_112025-F.webp" TargetMode="External"/><Relationship Id="rId9" Type="http://schemas.openxmlformats.org/officeDocument/2006/relationships/hyperlink" Target="https://http2.mlstatic.com/D_NQ_NP_2X_843594-MLA99940032451_112025-F.webp" TargetMode="External"/><Relationship Id="rId14" Type="http://schemas.openxmlformats.org/officeDocument/2006/relationships/hyperlink" Target="https://http2.mlstatic.com/D_NQ_NP_2X_726397-MLB91329379174_092025-F.webp" TargetMode="External"/><Relationship Id="rId22" Type="http://schemas.openxmlformats.org/officeDocument/2006/relationships/hyperlink" Target="https://http2.mlstatic.com/D_NQ_NP_2X_913258-MLB110113949141_042026-F.webp" TargetMode="External"/><Relationship Id="rId27" Type="http://schemas.openxmlformats.org/officeDocument/2006/relationships/hyperlink" Target="https://http2.mlstatic.com/D_NQ_NP_2X_927804-MLB108371976647_032026-F.webp" TargetMode="External"/><Relationship Id="rId30" Type="http://schemas.openxmlformats.org/officeDocument/2006/relationships/hyperlink" Target="https://http2.mlstatic.com/D_NQ_NP_2X_635928-MLB93287421838_092025-F.webp" TargetMode="External"/><Relationship Id="rId35" Type="http://schemas.openxmlformats.org/officeDocument/2006/relationships/hyperlink" Target="https://http2.mlstatic.com/D_NQ_NP_2X_934336-MLB108954898863_032026-F.webp" TargetMode="External"/><Relationship Id="rId43" Type="http://schemas.openxmlformats.org/officeDocument/2006/relationships/hyperlink" Target="https://http2.mlstatic.com/D_NQ_NP_2X_801375-MLB74868697143_032024-F.webp" TargetMode="External"/><Relationship Id="rId48" Type="http://schemas.openxmlformats.org/officeDocument/2006/relationships/hyperlink" Target="https://http2.mlstatic.com/D_NQ_NP_2X_812128-MLB91260322462_092025-F.webp" TargetMode="External"/><Relationship Id="rId56" Type="http://schemas.openxmlformats.org/officeDocument/2006/relationships/hyperlink" Target="https://http2.mlstatic.com/D_NQ_NP_2X_983466-MLB102470879344_122025-F.webp" TargetMode="External"/><Relationship Id="rId64" Type="http://schemas.openxmlformats.org/officeDocument/2006/relationships/hyperlink" Target="https://http2.mlstatic.com/D_NQ_NP_2X_885265-MLA109463872377_032026-F.webp" TargetMode="External"/><Relationship Id="rId69" Type="http://schemas.openxmlformats.org/officeDocument/2006/relationships/hyperlink" Target="https://http2.mlstatic.com/D_NQ_NP_2X_962883-MLB91320194366_092025-F.webp" TargetMode="External"/><Relationship Id="rId77" Type="http://schemas.openxmlformats.org/officeDocument/2006/relationships/table" Target="../tables/table3.xml"/><Relationship Id="rId8" Type="http://schemas.openxmlformats.org/officeDocument/2006/relationships/hyperlink" Target="https://http2.mlstatic.com/D_NQ_NP_2X_982524-MLA107571134235_022026-F.webp" TargetMode="External"/><Relationship Id="rId51" Type="http://schemas.openxmlformats.org/officeDocument/2006/relationships/hyperlink" Target="https://http2.mlstatic.com/D_NQ_NP_2X_729756-MLB91972533102_092025-F.webp" TargetMode="External"/><Relationship Id="rId72" Type="http://schemas.openxmlformats.org/officeDocument/2006/relationships/hyperlink" Target="https://http2.mlstatic.com/D_NQ_NP_2X_842076-MLB108479331709_032026-F.webp" TargetMode="External"/><Relationship Id="rId3" Type="http://schemas.openxmlformats.org/officeDocument/2006/relationships/hyperlink" Target="https://http2.mlstatic.com/D_NQ_NP_2X_820012-MLB92375043235_092025-F.webp" TargetMode="External"/><Relationship Id="rId12" Type="http://schemas.openxmlformats.org/officeDocument/2006/relationships/hyperlink" Target="http://http2.mlstatic.com/D_NQ_NP_2X_958630-MLB106472274970_022026-F.webp" TargetMode="External"/><Relationship Id="rId17" Type="http://schemas.openxmlformats.org/officeDocument/2006/relationships/hyperlink" Target="https://http2.mlstatic.com/D_NQ_NP_2X_616390-MLB108630928473_032026-F.webp" TargetMode="External"/><Relationship Id="rId25" Type="http://schemas.openxmlformats.org/officeDocument/2006/relationships/hyperlink" Target="https://http2.mlstatic.com/D_NQ_NP_2X_834311-MLB105257873141_012026-F.webp" TargetMode="External"/><Relationship Id="rId33" Type="http://schemas.openxmlformats.org/officeDocument/2006/relationships/hyperlink" Target="https://http2.mlstatic.com/D_NQ_NP_2X_838828-MLB105406580388_012026-F.webp" TargetMode="External"/><Relationship Id="rId38" Type="http://schemas.openxmlformats.org/officeDocument/2006/relationships/hyperlink" Target="https://http2.mlstatic.com/D_Q_NP_730163-MLB108185858819_032026-F-kit-5-cartuchos-finecut-428928-corte-plasma-powermax-30-45a.webp" TargetMode="External"/><Relationship Id="rId46" Type="http://schemas.openxmlformats.org/officeDocument/2006/relationships/hyperlink" Target="https://http2.mlstatic.com/D_NQ_NP_2X_749111-MLB91657300149_092025-F.webp" TargetMode="External"/><Relationship Id="rId59" Type="http://schemas.openxmlformats.org/officeDocument/2006/relationships/hyperlink" Target="https://http2.mlstatic.com/D_NQ_NP_2X_752507-MLA99533173362_122025-F.webp" TargetMode="External"/><Relationship Id="rId67" Type="http://schemas.openxmlformats.org/officeDocument/2006/relationships/hyperlink" Target="https://http2.mlstatic.com/D_NQ_NP_2X_649521-MLA110678649896_052026-F.webp" TargetMode="External"/><Relationship Id="rId20" Type="http://schemas.openxmlformats.org/officeDocument/2006/relationships/hyperlink" Target="https://http2.mlstatic.com/D_NQ_NP_2X_731773-MLB111898114707_052026-F.webp" TargetMode="External"/><Relationship Id="rId41" Type="http://schemas.openxmlformats.org/officeDocument/2006/relationships/hyperlink" Target="https://http2.mlstatic.com/D_NQ_NP_2X_920356-MLB105354745803_012026-F.webp" TargetMode="External"/><Relationship Id="rId54" Type="http://schemas.openxmlformats.org/officeDocument/2006/relationships/hyperlink" Target="https://http2.mlstatic.com/D_NQ_NP_2X_983466-MLB102470879344_122025-F.webp" TargetMode="External"/><Relationship Id="rId62" Type="http://schemas.openxmlformats.org/officeDocument/2006/relationships/hyperlink" Target="https://http2.mlstatic.com/D_Q_NP_854956-MLA111072855098_052026-B.webp" TargetMode="External"/><Relationship Id="rId70" Type="http://schemas.openxmlformats.org/officeDocument/2006/relationships/hyperlink" Target="https://http2.mlstatic.com/D_NQ_NP_2X_884516-MLB91288059366_092025-F-kit-maquina-de-solda-mascara-5kg-eletrodo-6013-25mm-preto-127220v.webp" TargetMode="External"/><Relationship Id="rId75" Type="http://schemas.openxmlformats.org/officeDocument/2006/relationships/hyperlink" Target="https://github.com/matheusguimaraesdata/imagens-produtos/blob/main/KIT%20MIG.png?raw=true" TargetMode="External"/><Relationship Id="rId1" Type="http://schemas.openxmlformats.org/officeDocument/2006/relationships/hyperlink" Target="https://http2.mlstatic.com/D_NQ_NP_2X_824421-MLB95390877884_102025-F.webp" TargetMode="External"/><Relationship Id="rId6" Type="http://schemas.openxmlformats.org/officeDocument/2006/relationships/hyperlink" Target="https://http2.mlstatic.com/D_NQ_NP_2X_747854-MLB91285348594_092025-F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225F-65FA-491E-8CCA-3E45CC5EB760}">
  <dimension ref="A1:D93"/>
  <sheetViews>
    <sheetView topLeftCell="A83" workbookViewId="0">
      <selection activeCell="C98" sqref="C98"/>
    </sheetView>
  </sheetViews>
  <sheetFormatPr defaultRowHeight="14.4" x14ac:dyDescent="0.3"/>
  <cols>
    <col min="1" max="1" width="6.109375" bestFit="1" customWidth="1"/>
    <col min="2" max="2" width="17.44140625" style="1" bestFit="1" customWidth="1"/>
    <col min="3" max="3" width="73.21875" customWidth="1"/>
    <col min="4" max="4" width="19.88671875" bestFit="1" customWidth="1"/>
  </cols>
  <sheetData>
    <row r="1" spans="1:4" x14ac:dyDescent="0.3">
      <c r="A1" s="4" t="s">
        <v>0</v>
      </c>
      <c r="B1" s="4" t="s">
        <v>37</v>
      </c>
      <c r="C1" t="s">
        <v>1</v>
      </c>
      <c r="D1" t="s">
        <v>3</v>
      </c>
    </row>
    <row r="2" spans="1:4" x14ac:dyDescent="0.3">
      <c r="A2" s="5">
        <v>1091</v>
      </c>
      <c r="B2" s="4">
        <v>4</v>
      </c>
      <c r="C2" s="2" t="s">
        <v>127</v>
      </c>
      <c r="D2" s="1">
        <v>2758</v>
      </c>
    </row>
    <row r="3" spans="1:4" x14ac:dyDescent="0.3">
      <c r="A3" s="5">
        <v>1090</v>
      </c>
      <c r="B3" s="4">
        <v>124</v>
      </c>
      <c r="C3" s="2" t="s">
        <v>60</v>
      </c>
      <c r="D3" s="1">
        <v>62.041400000000003</v>
      </c>
    </row>
    <row r="4" spans="1:4" x14ac:dyDescent="0.3">
      <c r="A4" s="5">
        <v>1089</v>
      </c>
      <c r="B4" s="4">
        <v>1865</v>
      </c>
      <c r="C4" s="2" t="s">
        <v>49</v>
      </c>
      <c r="D4" s="1">
        <v>12.347200000000001</v>
      </c>
    </row>
    <row r="5" spans="1:4" x14ac:dyDescent="0.3">
      <c r="A5" s="10">
        <v>1088</v>
      </c>
      <c r="B5" s="4">
        <v>96</v>
      </c>
      <c r="C5" s="2" t="s">
        <v>81</v>
      </c>
      <c r="D5" s="1">
        <v>22.313700000000001</v>
      </c>
    </row>
    <row r="6" spans="1:4" x14ac:dyDescent="0.3">
      <c r="A6" s="5">
        <v>1087</v>
      </c>
      <c r="B6" s="4">
        <v>20</v>
      </c>
      <c r="C6" s="2" t="s">
        <v>77</v>
      </c>
      <c r="D6" s="1">
        <v>408.61750000000001</v>
      </c>
    </row>
    <row r="7" spans="1:4" x14ac:dyDescent="0.3">
      <c r="A7" s="5">
        <v>1086</v>
      </c>
      <c r="B7" s="4">
        <v>22</v>
      </c>
      <c r="C7" s="2" t="s">
        <v>74</v>
      </c>
      <c r="D7" s="1">
        <v>351.12979999999999</v>
      </c>
    </row>
    <row r="8" spans="1:4" x14ac:dyDescent="0.3">
      <c r="A8" s="5">
        <v>1085</v>
      </c>
      <c r="B8" s="4">
        <v>311</v>
      </c>
      <c r="C8" s="2" t="s">
        <v>63</v>
      </c>
      <c r="D8" s="1">
        <v>5.8239999999999998</v>
      </c>
    </row>
    <row r="9" spans="1:4" x14ac:dyDescent="0.3">
      <c r="A9" s="5">
        <v>1084</v>
      </c>
      <c r="B9" s="4">
        <v>39</v>
      </c>
      <c r="C9" s="2" t="s">
        <v>59</v>
      </c>
      <c r="D9" s="1">
        <v>49.762799999999999</v>
      </c>
    </row>
    <row r="10" spans="1:4" x14ac:dyDescent="0.3">
      <c r="A10" s="5">
        <v>1083</v>
      </c>
      <c r="B10" s="4">
        <v>183</v>
      </c>
      <c r="C10" s="2" t="s">
        <v>115</v>
      </c>
      <c r="D10" s="1">
        <v>143.46199999999999</v>
      </c>
    </row>
    <row r="11" spans="1:4" x14ac:dyDescent="0.3">
      <c r="A11" s="5">
        <v>1082</v>
      </c>
      <c r="B11" s="4">
        <v>4</v>
      </c>
      <c r="C11" s="2" t="s">
        <v>57</v>
      </c>
      <c r="D11" s="1">
        <v>539.85170000000005</v>
      </c>
    </row>
    <row r="12" spans="1:4" x14ac:dyDescent="0.3">
      <c r="A12" s="5">
        <v>1081</v>
      </c>
      <c r="B12" s="4">
        <v>144</v>
      </c>
      <c r="C12" s="2" t="s">
        <v>121</v>
      </c>
      <c r="D12" s="1">
        <v>12.880100000000001</v>
      </c>
    </row>
    <row r="13" spans="1:4" x14ac:dyDescent="0.3">
      <c r="A13" s="5">
        <v>1080</v>
      </c>
      <c r="B13" s="4">
        <v>1</v>
      </c>
      <c r="C13" s="2" t="s">
        <v>100</v>
      </c>
      <c r="D13" s="1">
        <v>408.60270000000003</v>
      </c>
    </row>
    <row r="14" spans="1:4" x14ac:dyDescent="0.3">
      <c r="A14" s="5">
        <v>1079</v>
      </c>
      <c r="B14" s="4">
        <v>2471</v>
      </c>
      <c r="C14" s="2" t="s">
        <v>50</v>
      </c>
      <c r="D14" s="1">
        <v>37.1648</v>
      </c>
    </row>
    <row r="15" spans="1:4" x14ac:dyDescent="0.3">
      <c r="A15" s="5">
        <v>1078</v>
      </c>
      <c r="B15" s="4">
        <v>5587</v>
      </c>
      <c r="C15" s="2" t="s">
        <v>135</v>
      </c>
      <c r="D15" s="1">
        <v>172.66540000000001</v>
      </c>
    </row>
    <row r="16" spans="1:4" x14ac:dyDescent="0.3">
      <c r="A16" s="5">
        <v>1077</v>
      </c>
      <c r="B16" s="4">
        <v>1</v>
      </c>
      <c r="C16" s="2" t="s">
        <v>128</v>
      </c>
      <c r="D16" s="1">
        <v>1587.1622</v>
      </c>
    </row>
    <row r="17" spans="1:4" x14ac:dyDescent="0.3">
      <c r="A17" s="5">
        <v>1076</v>
      </c>
      <c r="B17" s="4">
        <v>43</v>
      </c>
      <c r="C17" s="2" t="s">
        <v>73</v>
      </c>
      <c r="D17" s="1">
        <v>99.045000000000002</v>
      </c>
    </row>
    <row r="18" spans="1:4" x14ac:dyDescent="0.3">
      <c r="A18" s="5">
        <v>1075</v>
      </c>
      <c r="B18" s="4">
        <v>14</v>
      </c>
      <c r="C18" s="2" t="s">
        <v>75</v>
      </c>
      <c r="D18" s="1">
        <v>319.56709999999998</v>
      </c>
    </row>
    <row r="19" spans="1:4" x14ac:dyDescent="0.3">
      <c r="A19" s="5">
        <v>1074</v>
      </c>
      <c r="B19" s="4">
        <v>45</v>
      </c>
      <c r="C19" s="2" t="s">
        <v>110</v>
      </c>
      <c r="D19" s="1">
        <v>6589.44</v>
      </c>
    </row>
    <row r="20" spans="1:4" x14ac:dyDescent="0.3">
      <c r="A20" s="5">
        <v>1073</v>
      </c>
      <c r="B20" s="4">
        <v>14</v>
      </c>
      <c r="C20" s="2" t="s">
        <v>124</v>
      </c>
      <c r="D20" s="1">
        <v>14822.5</v>
      </c>
    </row>
    <row r="21" spans="1:4" x14ac:dyDescent="0.3">
      <c r="A21" s="5">
        <v>1072</v>
      </c>
      <c r="B21" s="4">
        <v>268</v>
      </c>
      <c r="C21" s="2" t="s">
        <v>117</v>
      </c>
      <c r="D21" s="1">
        <v>10.9742</v>
      </c>
    </row>
    <row r="22" spans="1:4" x14ac:dyDescent="0.3">
      <c r="A22" s="5">
        <v>1071</v>
      </c>
      <c r="B22" s="4">
        <v>5</v>
      </c>
      <c r="C22" s="2" t="s">
        <v>71</v>
      </c>
      <c r="D22" s="1">
        <v>51.934199999999997</v>
      </c>
    </row>
    <row r="23" spans="1:4" x14ac:dyDescent="0.3">
      <c r="A23" s="5">
        <v>1070</v>
      </c>
      <c r="B23" s="4">
        <v>1</v>
      </c>
      <c r="C23" s="2" t="s">
        <v>129</v>
      </c>
      <c r="D23" s="1">
        <v>1612.3733</v>
      </c>
    </row>
    <row r="24" spans="1:4" x14ac:dyDescent="0.3">
      <c r="A24" s="5">
        <v>1069</v>
      </c>
      <c r="B24" s="4">
        <v>7</v>
      </c>
      <c r="C24" s="2" t="s">
        <v>99</v>
      </c>
      <c r="D24" s="1">
        <v>419.37060000000002</v>
      </c>
    </row>
    <row r="25" spans="1:4" x14ac:dyDescent="0.3">
      <c r="A25" s="5">
        <v>1068</v>
      </c>
      <c r="B25" s="4">
        <v>6973</v>
      </c>
      <c r="C25" s="2" t="s">
        <v>132</v>
      </c>
      <c r="D25" s="1">
        <v>917.25</v>
      </c>
    </row>
    <row r="26" spans="1:4" x14ac:dyDescent="0.3">
      <c r="A26" s="5">
        <v>1067</v>
      </c>
      <c r="B26" s="4">
        <v>119</v>
      </c>
      <c r="C26" s="2" t="s">
        <v>103</v>
      </c>
      <c r="D26" s="1">
        <v>72.653199999999998</v>
      </c>
    </row>
    <row r="27" spans="1:4" x14ac:dyDescent="0.3">
      <c r="A27" s="5">
        <v>1066</v>
      </c>
      <c r="B27" s="4">
        <v>365</v>
      </c>
      <c r="C27" s="2" t="s">
        <v>134</v>
      </c>
      <c r="D27" s="1">
        <v>795.03840000000002</v>
      </c>
    </row>
    <row r="28" spans="1:4" x14ac:dyDescent="0.3">
      <c r="A28" s="5">
        <v>1065</v>
      </c>
      <c r="B28" s="4">
        <v>3857</v>
      </c>
      <c r="C28" s="2" t="s">
        <v>46</v>
      </c>
      <c r="D28" s="1">
        <v>11.085000000000001</v>
      </c>
    </row>
    <row r="29" spans="1:4" x14ac:dyDescent="0.3">
      <c r="A29" s="5">
        <v>1064</v>
      </c>
      <c r="B29" s="4">
        <v>1</v>
      </c>
      <c r="C29" s="2" t="s">
        <v>66</v>
      </c>
      <c r="D29" s="1">
        <v>374.61090000000002</v>
      </c>
    </row>
    <row r="30" spans="1:4" x14ac:dyDescent="0.3">
      <c r="A30" s="5">
        <v>1063</v>
      </c>
      <c r="B30" s="4">
        <v>2</v>
      </c>
      <c r="C30" s="2" t="s">
        <v>126</v>
      </c>
      <c r="D30" s="1">
        <v>10199.4</v>
      </c>
    </row>
    <row r="31" spans="1:4" x14ac:dyDescent="0.3">
      <c r="A31" s="5">
        <v>1062</v>
      </c>
      <c r="B31" s="4">
        <v>13</v>
      </c>
      <c r="C31" s="2" t="s">
        <v>67</v>
      </c>
      <c r="D31" s="1">
        <v>428.17270000000002</v>
      </c>
    </row>
    <row r="32" spans="1:4" x14ac:dyDescent="0.3">
      <c r="A32" s="5">
        <v>1061</v>
      </c>
      <c r="B32" s="4">
        <v>5</v>
      </c>
      <c r="C32" s="2" t="s">
        <v>131</v>
      </c>
      <c r="D32" s="1">
        <v>87.324299999999994</v>
      </c>
    </row>
    <row r="33" spans="1:4" x14ac:dyDescent="0.3">
      <c r="A33" s="5">
        <v>1060</v>
      </c>
      <c r="B33" s="4">
        <v>18</v>
      </c>
      <c r="C33" s="2" t="s">
        <v>55</v>
      </c>
      <c r="D33" s="1">
        <v>37.771700000000003</v>
      </c>
    </row>
    <row r="34" spans="1:4" x14ac:dyDescent="0.3">
      <c r="A34" s="5">
        <v>1059</v>
      </c>
      <c r="B34" s="4">
        <v>11</v>
      </c>
      <c r="C34" s="2" t="s">
        <v>130</v>
      </c>
      <c r="D34" s="1">
        <v>172.17769999999999</v>
      </c>
    </row>
    <row r="35" spans="1:4" x14ac:dyDescent="0.3">
      <c r="A35" s="5">
        <v>1058</v>
      </c>
      <c r="B35" s="4">
        <v>8</v>
      </c>
      <c r="C35" s="2" t="s">
        <v>94</v>
      </c>
      <c r="D35" s="1">
        <v>329.911</v>
      </c>
    </row>
    <row r="36" spans="1:4" x14ac:dyDescent="0.3">
      <c r="A36" s="5">
        <v>1057</v>
      </c>
      <c r="B36" s="4">
        <v>80</v>
      </c>
      <c r="C36" s="2" t="s">
        <v>108</v>
      </c>
      <c r="D36" s="1">
        <v>2936.0940000000001</v>
      </c>
    </row>
    <row r="37" spans="1:4" x14ac:dyDescent="0.3">
      <c r="A37" s="5">
        <v>1056</v>
      </c>
      <c r="B37" s="4">
        <v>201</v>
      </c>
      <c r="C37" s="2" t="s">
        <v>52</v>
      </c>
      <c r="D37" s="1">
        <v>18.659700000000001</v>
      </c>
    </row>
    <row r="38" spans="1:4" x14ac:dyDescent="0.3">
      <c r="A38" s="5">
        <v>1055</v>
      </c>
      <c r="B38" s="4">
        <v>100</v>
      </c>
      <c r="C38" s="2" t="s">
        <v>51</v>
      </c>
      <c r="D38" s="1">
        <v>30.212</v>
      </c>
    </row>
    <row r="39" spans="1:4" x14ac:dyDescent="0.3">
      <c r="A39" s="5">
        <v>1054</v>
      </c>
      <c r="B39" s="4">
        <v>23</v>
      </c>
      <c r="C39" s="2" t="s">
        <v>70</v>
      </c>
      <c r="D39" s="1">
        <v>266.69080000000002</v>
      </c>
    </row>
    <row r="40" spans="1:4" x14ac:dyDescent="0.3">
      <c r="A40" s="5">
        <v>1053</v>
      </c>
      <c r="B40" s="4">
        <v>268</v>
      </c>
      <c r="C40" s="2" t="s">
        <v>102</v>
      </c>
      <c r="D40" s="1">
        <v>116.7312</v>
      </c>
    </row>
    <row r="41" spans="1:4" x14ac:dyDescent="0.3">
      <c r="A41" s="5">
        <v>1052</v>
      </c>
      <c r="B41" s="4">
        <v>15</v>
      </c>
      <c r="C41" s="2" t="s">
        <v>68</v>
      </c>
      <c r="D41" s="1">
        <v>412.89319999999998</v>
      </c>
    </row>
    <row r="42" spans="1:4" x14ac:dyDescent="0.3">
      <c r="A42" s="5">
        <v>1051</v>
      </c>
      <c r="B42" s="4">
        <v>7</v>
      </c>
      <c r="C42" s="2" t="s">
        <v>98</v>
      </c>
      <c r="D42" s="1">
        <v>546.06880000000001</v>
      </c>
    </row>
    <row r="43" spans="1:4" x14ac:dyDescent="0.3">
      <c r="A43" s="5">
        <v>1050</v>
      </c>
      <c r="B43" s="4">
        <v>4</v>
      </c>
      <c r="C43" s="2" t="s">
        <v>84</v>
      </c>
      <c r="D43" s="1">
        <v>681.88660000000004</v>
      </c>
    </row>
    <row r="44" spans="1:4" x14ac:dyDescent="0.3">
      <c r="A44" s="5">
        <v>1049</v>
      </c>
      <c r="B44" s="4">
        <v>1</v>
      </c>
      <c r="C44" s="2" t="s">
        <v>62</v>
      </c>
      <c r="D44" s="1">
        <v>8.1964000000000006</v>
      </c>
    </row>
    <row r="45" spans="1:4" x14ac:dyDescent="0.3">
      <c r="A45" s="5">
        <v>1048</v>
      </c>
      <c r="B45" s="4">
        <v>872</v>
      </c>
      <c r="C45" s="2" t="s">
        <v>48</v>
      </c>
      <c r="D45" s="1">
        <v>12.300800000000001</v>
      </c>
    </row>
    <row r="46" spans="1:4" x14ac:dyDescent="0.3">
      <c r="A46" s="5">
        <v>1047</v>
      </c>
      <c r="B46" s="4">
        <v>1418</v>
      </c>
      <c r="C46" s="2" t="s">
        <v>92</v>
      </c>
      <c r="D46" s="1">
        <v>3.8915000000000002</v>
      </c>
    </row>
    <row r="47" spans="1:4" x14ac:dyDescent="0.3">
      <c r="A47" s="5">
        <v>1046</v>
      </c>
      <c r="B47" s="4">
        <v>8874</v>
      </c>
      <c r="C47" s="2" t="s">
        <v>137</v>
      </c>
      <c r="D47" s="1">
        <v>628.97559999999999</v>
      </c>
    </row>
    <row r="48" spans="1:4" x14ac:dyDescent="0.3">
      <c r="A48" s="10">
        <v>1045</v>
      </c>
      <c r="B48" s="4">
        <v>233</v>
      </c>
      <c r="C48" s="2" t="s">
        <v>80</v>
      </c>
      <c r="D48" s="1">
        <v>33.137099999999997</v>
      </c>
    </row>
    <row r="49" spans="1:4" x14ac:dyDescent="0.3">
      <c r="A49" s="5">
        <v>1044</v>
      </c>
      <c r="B49" s="4">
        <v>121</v>
      </c>
      <c r="C49" s="2" t="s">
        <v>53</v>
      </c>
      <c r="D49" s="1">
        <v>19.642399999999999</v>
      </c>
    </row>
    <row r="50" spans="1:4" x14ac:dyDescent="0.3">
      <c r="A50" s="5">
        <v>1043</v>
      </c>
      <c r="B50" s="4">
        <v>30</v>
      </c>
      <c r="C50" s="2" t="s">
        <v>109</v>
      </c>
      <c r="D50" s="1">
        <v>3457.96</v>
      </c>
    </row>
    <row r="51" spans="1:4" x14ac:dyDescent="0.3">
      <c r="A51" s="5">
        <v>1042</v>
      </c>
      <c r="B51" s="4">
        <v>15</v>
      </c>
      <c r="C51" s="2" t="s">
        <v>101</v>
      </c>
      <c r="D51" s="1">
        <v>564.22320000000002</v>
      </c>
    </row>
    <row r="52" spans="1:4" x14ac:dyDescent="0.3">
      <c r="A52" s="5">
        <v>1041</v>
      </c>
      <c r="B52" s="4">
        <v>22</v>
      </c>
      <c r="C52" s="2" t="s">
        <v>112</v>
      </c>
      <c r="D52" s="1">
        <v>3483.9229999999998</v>
      </c>
    </row>
    <row r="53" spans="1:4" x14ac:dyDescent="0.3">
      <c r="A53" s="5">
        <v>1040</v>
      </c>
      <c r="B53" s="4">
        <v>133</v>
      </c>
      <c r="C53" s="2" t="s">
        <v>64</v>
      </c>
      <c r="D53" s="1">
        <v>3.9302999999999999</v>
      </c>
    </row>
    <row r="54" spans="1:4" x14ac:dyDescent="0.3">
      <c r="A54" s="5">
        <v>1039</v>
      </c>
      <c r="B54" s="4">
        <v>93</v>
      </c>
      <c r="C54" s="2" t="s">
        <v>85</v>
      </c>
      <c r="D54" s="1">
        <v>7.6361999999999997</v>
      </c>
    </row>
    <row r="55" spans="1:4" x14ac:dyDescent="0.3">
      <c r="A55" s="5">
        <v>1038</v>
      </c>
      <c r="B55" s="4">
        <v>7</v>
      </c>
      <c r="C55" s="2" t="s">
        <v>69</v>
      </c>
      <c r="D55" s="1">
        <v>525.69910000000004</v>
      </c>
    </row>
    <row r="56" spans="1:4" x14ac:dyDescent="0.3">
      <c r="A56" s="5">
        <v>1037</v>
      </c>
      <c r="B56" s="4">
        <v>1</v>
      </c>
      <c r="C56" s="2" t="s">
        <v>82</v>
      </c>
      <c r="D56" s="1">
        <v>1600.0806</v>
      </c>
    </row>
    <row r="57" spans="1:4" x14ac:dyDescent="0.3">
      <c r="A57" s="5">
        <v>1036</v>
      </c>
      <c r="B57" s="4">
        <v>1</v>
      </c>
      <c r="C57" s="2" t="s">
        <v>58</v>
      </c>
      <c r="D57" s="1">
        <v>742.952</v>
      </c>
    </row>
    <row r="58" spans="1:4" x14ac:dyDescent="0.3">
      <c r="A58" s="5">
        <v>1035</v>
      </c>
      <c r="B58" s="4">
        <v>14</v>
      </c>
      <c r="C58" s="2" t="s">
        <v>125</v>
      </c>
      <c r="D58" s="1">
        <v>6530.8</v>
      </c>
    </row>
    <row r="59" spans="1:4" x14ac:dyDescent="0.3">
      <c r="A59" s="5">
        <v>1034</v>
      </c>
      <c r="B59" s="4">
        <v>1</v>
      </c>
      <c r="C59" s="2" t="s">
        <v>104</v>
      </c>
      <c r="D59" s="1">
        <v>17.703700000000001</v>
      </c>
    </row>
    <row r="60" spans="1:4" x14ac:dyDescent="0.3">
      <c r="A60" s="5">
        <v>1033</v>
      </c>
      <c r="B60" s="4">
        <v>968</v>
      </c>
      <c r="C60" s="2" t="s">
        <v>136</v>
      </c>
      <c r="D60" s="1">
        <v>95.105400000000003</v>
      </c>
    </row>
    <row r="61" spans="1:4" x14ac:dyDescent="0.3">
      <c r="A61" s="5">
        <v>1032</v>
      </c>
      <c r="B61" s="4">
        <v>242</v>
      </c>
      <c r="C61" s="2" t="s">
        <v>86</v>
      </c>
      <c r="D61" s="1">
        <v>7.2545000000000002</v>
      </c>
    </row>
    <row r="62" spans="1:4" x14ac:dyDescent="0.3">
      <c r="A62" s="5">
        <v>1031</v>
      </c>
      <c r="B62" s="4">
        <v>46</v>
      </c>
      <c r="C62" s="2" t="s">
        <v>88</v>
      </c>
      <c r="D62" s="1">
        <v>44.5398</v>
      </c>
    </row>
    <row r="63" spans="1:4" x14ac:dyDescent="0.3">
      <c r="A63" s="5">
        <v>1030</v>
      </c>
      <c r="B63" s="4">
        <v>63</v>
      </c>
      <c r="C63" s="2" t="s">
        <v>122</v>
      </c>
      <c r="D63" s="1">
        <v>11.465999999999999</v>
      </c>
    </row>
    <row r="64" spans="1:4" x14ac:dyDescent="0.3">
      <c r="A64" s="5">
        <v>1029</v>
      </c>
      <c r="B64" s="4">
        <v>7</v>
      </c>
      <c r="C64" s="2" t="s">
        <v>90</v>
      </c>
      <c r="D64" s="1">
        <v>1050.7954999999999</v>
      </c>
    </row>
    <row r="65" spans="1:4" x14ac:dyDescent="0.3">
      <c r="A65" s="5">
        <v>1028</v>
      </c>
      <c r="B65" s="4">
        <v>13</v>
      </c>
      <c r="C65" s="2" t="s">
        <v>76</v>
      </c>
      <c r="D65" s="1">
        <v>402.0489</v>
      </c>
    </row>
    <row r="66" spans="1:4" x14ac:dyDescent="0.3">
      <c r="A66" s="5">
        <v>1027</v>
      </c>
      <c r="B66" s="4">
        <v>1</v>
      </c>
      <c r="C66" s="2" t="s">
        <v>119</v>
      </c>
      <c r="D66" s="1">
        <v>110348</v>
      </c>
    </row>
    <row r="67" spans="1:4" x14ac:dyDescent="0.3">
      <c r="A67" s="5">
        <v>1026</v>
      </c>
      <c r="B67" s="4">
        <v>3</v>
      </c>
      <c r="C67" s="2" t="s">
        <v>83</v>
      </c>
      <c r="D67" s="1">
        <v>802.74310000000003</v>
      </c>
    </row>
    <row r="68" spans="1:4" x14ac:dyDescent="0.3">
      <c r="A68" s="5">
        <v>1025</v>
      </c>
      <c r="B68" s="4">
        <v>307</v>
      </c>
      <c r="C68" s="2" t="s">
        <v>54</v>
      </c>
      <c r="D68" s="1">
        <v>61.477800000000002</v>
      </c>
    </row>
    <row r="69" spans="1:4" x14ac:dyDescent="0.3">
      <c r="A69" s="5">
        <v>1024</v>
      </c>
      <c r="B69" s="4">
        <v>19</v>
      </c>
      <c r="C69" s="2" t="s">
        <v>79</v>
      </c>
      <c r="D69" s="1">
        <v>338.69330000000002</v>
      </c>
    </row>
    <row r="70" spans="1:4" x14ac:dyDescent="0.3">
      <c r="A70" s="5">
        <v>1023</v>
      </c>
      <c r="B70" s="4">
        <v>9</v>
      </c>
      <c r="C70" s="2" t="s">
        <v>120</v>
      </c>
      <c r="D70" s="1">
        <v>474.17059999999998</v>
      </c>
    </row>
    <row r="71" spans="1:4" x14ac:dyDescent="0.3">
      <c r="A71" s="5">
        <v>1022</v>
      </c>
      <c r="B71" s="4">
        <v>9</v>
      </c>
      <c r="C71" s="2" t="s">
        <v>123</v>
      </c>
      <c r="D71" s="1">
        <v>26559</v>
      </c>
    </row>
    <row r="72" spans="1:4" x14ac:dyDescent="0.3">
      <c r="A72" s="5">
        <v>1021</v>
      </c>
      <c r="B72" s="4">
        <v>78</v>
      </c>
      <c r="C72" s="2" t="s">
        <v>133</v>
      </c>
      <c r="D72" s="1">
        <v>77.573800000000006</v>
      </c>
    </row>
    <row r="73" spans="1:4" x14ac:dyDescent="0.3">
      <c r="A73" s="5">
        <v>1020</v>
      </c>
      <c r="B73" s="4">
        <v>123</v>
      </c>
      <c r="C73" s="2" t="s">
        <v>97</v>
      </c>
      <c r="D73" s="1">
        <v>5.6029999999999998</v>
      </c>
    </row>
    <row r="74" spans="1:4" x14ac:dyDescent="0.3">
      <c r="A74" s="5">
        <v>1019</v>
      </c>
      <c r="B74" s="4">
        <v>5</v>
      </c>
      <c r="C74" s="2" t="s">
        <v>96</v>
      </c>
      <c r="D74" s="1">
        <v>614.91539999999998</v>
      </c>
    </row>
    <row r="75" spans="1:4" x14ac:dyDescent="0.3">
      <c r="A75" s="5">
        <v>1018</v>
      </c>
      <c r="B75" s="4">
        <v>444</v>
      </c>
      <c r="C75" s="2" t="s">
        <v>116</v>
      </c>
      <c r="D75" s="1">
        <v>21.965399999999999</v>
      </c>
    </row>
    <row r="76" spans="1:4" x14ac:dyDescent="0.3">
      <c r="A76" s="5">
        <v>1017</v>
      </c>
      <c r="B76" s="4">
        <v>45</v>
      </c>
      <c r="C76" s="2" t="s">
        <v>118</v>
      </c>
      <c r="D76" s="1">
        <v>3955.05</v>
      </c>
    </row>
    <row r="77" spans="1:4" x14ac:dyDescent="0.3">
      <c r="A77" s="10">
        <v>1016</v>
      </c>
      <c r="B77" s="4">
        <v>164</v>
      </c>
      <c r="C77" s="2" t="s">
        <v>91</v>
      </c>
      <c r="D77" s="1">
        <v>8.7484000000000002</v>
      </c>
    </row>
    <row r="78" spans="1:4" x14ac:dyDescent="0.3">
      <c r="A78" s="5">
        <v>1015</v>
      </c>
      <c r="B78" s="4">
        <v>7</v>
      </c>
      <c r="C78" s="2" t="s">
        <v>113</v>
      </c>
      <c r="D78" s="1">
        <v>435.08670000000001</v>
      </c>
    </row>
    <row r="79" spans="1:4" x14ac:dyDescent="0.3">
      <c r="A79" s="5">
        <v>1014</v>
      </c>
      <c r="B79" s="4">
        <v>9</v>
      </c>
      <c r="C79" s="2" t="s">
        <v>107</v>
      </c>
      <c r="D79" s="1">
        <v>2962.5749999999998</v>
      </c>
    </row>
    <row r="80" spans="1:4" x14ac:dyDescent="0.3">
      <c r="A80" s="5">
        <v>1013</v>
      </c>
      <c r="B80" s="4">
        <v>78</v>
      </c>
      <c r="C80" s="2" t="s">
        <v>65</v>
      </c>
      <c r="D80" s="1">
        <v>439.15039999999999</v>
      </c>
    </row>
    <row r="81" spans="1:4" x14ac:dyDescent="0.3">
      <c r="A81" s="5">
        <v>1012</v>
      </c>
      <c r="B81" s="4">
        <v>195</v>
      </c>
      <c r="C81" s="2" t="s">
        <v>114</v>
      </c>
      <c r="D81" s="1">
        <v>650.88710000000003</v>
      </c>
    </row>
    <row r="82" spans="1:4" x14ac:dyDescent="0.3">
      <c r="A82" s="5">
        <v>1011</v>
      </c>
      <c r="B82" s="4">
        <v>8</v>
      </c>
      <c r="C82" s="2" t="s">
        <v>95</v>
      </c>
      <c r="D82" s="1">
        <v>451.08350000000002</v>
      </c>
    </row>
    <row r="83" spans="1:4" x14ac:dyDescent="0.3">
      <c r="A83" s="5">
        <v>1010</v>
      </c>
      <c r="B83" s="4">
        <v>3</v>
      </c>
      <c r="C83" s="2" t="s">
        <v>93</v>
      </c>
      <c r="D83" s="1">
        <v>424.6474</v>
      </c>
    </row>
    <row r="84" spans="1:4" x14ac:dyDescent="0.3">
      <c r="A84" s="5">
        <v>1009</v>
      </c>
      <c r="B84" s="4">
        <v>16</v>
      </c>
      <c r="C84" s="2" t="s">
        <v>78</v>
      </c>
      <c r="D84" s="1">
        <v>347.85789999999997</v>
      </c>
    </row>
    <row r="85" spans="1:4" x14ac:dyDescent="0.3">
      <c r="A85" s="5">
        <v>1008</v>
      </c>
      <c r="B85" s="4">
        <v>39</v>
      </c>
      <c r="C85" s="2" t="s">
        <v>87</v>
      </c>
      <c r="D85" s="1">
        <v>9.2624999999999993</v>
      </c>
    </row>
    <row r="86" spans="1:4" x14ac:dyDescent="0.3">
      <c r="A86" s="5">
        <v>1007</v>
      </c>
      <c r="B86" s="4">
        <v>7</v>
      </c>
      <c r="C86" s="2" t="s">
        <v>72</v>
      </c>
      <c r="D86" s="1">
        <v>49.209200000000003</v>
      </c>
    </row>
    <row r="87" spans="1:4" x14ac:dyDescent="0.3">
      <c r="A87" s="5">
        <v>1006</v>
      </c>
      <c r="B87" s="4">
        <v>81</v>
      </c>
      <c r="C87" s="2" t="s">
        <v>61</v>
      </c>
      <c r="D87" s="1">
        <v>62.9208</v>
      </c>
    </row>
    <row r="88" spans="1:4" x14ac:dyDescent="0.3">
      <c r="A88" s="5">
        <v>1005</v>
      </c>
      <c r="B88" s="4">
        <v>20</v>
      </c>
      <c r="C88" s="2" t="s">
        <v>105</v>
      </c>
      <c r="D88" s="1">
        <v>220.77590000000001</v>
      </c>
    </row>
    <row r="89" spans="1:4" x14ac:dyDescent="0.3">
      <c r="A89" s="5">
        <v>1004</v>
      </c>
      <c r="B89" s="4">
        <v>33</v>
      </c>
      <c r="C89" s="2" t="s">
        <v>111</v>
      </c>
      <c r="D89" s="1">
        <v>4746.72</v>
      </c>
    </row>
    <row r="90" spans="1:4" x14ac:dyDescent="0.3">
      <c r="A90" s="5">
        <v>1003</v>
      </c>
      <c r="B90" s="4">
        <v>694</v>
      </c>
      <c r="C90" s="2" t="s">
        <v>47</v>
      </c>
      <c r="D90">
        <v>2.2444000000000002</v>
      </c>
    </row>
    <row r="91" spans="1:4" x14ac:dyDescent="0.3">
      <c r="A91" s="5">
        <v>1002</v>
      </c>
      <c r="B91" s="4">
        <v>220</v>
      </c>
      <c r="C91" s="2" t="s">
        <v>89</v>
      </c>
      <c r="D91">
        <v>10.5655</v>
      </c>
    </row>
    <row r="92" spans="1:4" x14ac:dyDescent="0.3">
      <c r="A92" s="5">
        <v>1001</v>
      </c>
      <c r="B92" s="4">
        <v>21</v>
      </c>
      <c r="C92" s="2" t="s">
        <v>56</v>
      </c>
      <c r="D92">
        <v>42.104700000000001</v>
      </c>
    </row>
    <row r="93" spans="1:4" x14ac:dyDescent="0.3">
      <c r="A93" s="5">
        <v>1000</v>
      </c>
      <c r="B93" s="4">
        <v>44</v>
      </c>
      <c r="C93" s="2" t="s">
        <v>106</v>
      </c>
      <c r="D93">
        <v>575.66300000000001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8C36-9E19-4EF6-8C91-40B59859656A}">
  <dimension ref="A1:H169"/>
  <sheetViews>
    <sheetView topLeftCell="A141" workbookViewId="0">
      <selection activeCell="C2" sqref="C2:C167"/>
    </sheetView>
  </sheetViews>
  <sheetFormatPr defaultRowHeight="14.4" x14ac:dyDescent="0.3"/>
  <cols>
    <col min="1" max="1" width="6.109375" style="1" bestFit="1" customWidth="1"/>
    <col min="2" max="2" width="14.77734375" style="1" bestFit="1" customWidth="1"/>
    <col min="3" max="3" width="80.88671875" style="1" bestFit="1" customWidth="1"/>
    <col min="4" max="4" width="17.88671875" style="1" bestFit="1" customWidth="1"/>
    <col min="5" max="5" width="17.44140625" style="1" bestFit="1" customWidth="1"/>
    <col min="6" max="7" width="17.44140625" style="1" customWidth="1"/>
    <col min="8" max="8" width="17.88671875" style="1" bestFit="1" customWidth="1"/>
    <col min="9" max="16384" width="8.88671875" style="1"/>
  </cols>
  <sheetData>
    <row r="1" spans="1:8" x14ac:dyDescent="0.3">
      <c r="A1" s="1" t="s">
        <v>0</v>
      </c>
      <c r="B1" s="1" t="s">
        <v>9</v>
      </c>
      <c r="C1" s="1" t="s">
        <v>17</v>
      </c>
      <c r="D1" s="1" t="s">
        <v>11</v>
      </c>
      <c r="E1" s="1" t="s">
        <v>37</v>
      </c>
      <c r="F1" s="1" t="s">
        <v>41</v>
      </c>
      <c r="G1" s="1" t="s">
        <v>38</v>
      </c>
      <c r="H1" s="1" t="s">
        <v>44</v>
      </c>
    </row>
    <row r="2" spans="1:8" x14ac:dyDescent="0.3">
      <c r="A2" s="1">
        <v>1000</v>
      </c>
      <c r="B2" s="2" t="s">
        <v>241</v>
      </c>
      <c r="C2" s="2" t="s">
        <v>431</v>
      </c>
      <c r="D2" s="1">
        <v>1</v>
      </c>
      <c r="E2" s="1">
        <f>_xlfn.XLOOKUP(fact_estoque2[[#This Row],[sku]], dim_produtos_1[sku], dim_produtos_1[estoque_sistema])</f>
        <v>44</v>
      </c>
      <c r="F2" s="1" t="s">
        <v>42</v>
      </c>
      <c r="G2" s="3">
        <f>INT(fact_estoque2[[#This Row],[estoque_sistema]]/fact_estoque2[[#This Row],[quantidade_anuncio]])</f>
        <v>44</v>
      </c>
      <c r="H2" s="1" t="s">
        <v>42</v>
      </c>
    </row>
    <row r="3" spans="1:8" x14ac:dyDescent="0.3">
      <c r="A3" s="1">
        <v>1000</v>
      </c>
      <c r="B3" s="2" t="s">
        <v>242</v>
      </c>
      <c r="C3" s="2" t="s">
        <v>313</v>
      </c>
      <c r="D3" s="1">
        <v>2</v>
      </c>
      <c r="E3" s="1">
        <f>_xlfn.XLOOKUP(fact_estoque2[[#This Row],[sku]], dim_produtos_1[sku], dim_produtos_1[estoque_sistema])</f>
        <v>44</v>
      </c>
      <c r="F3" s="1" t="s">
        <v>42</v>
      </c>
      <c r="G3" s="3">
        <f>INT(fact_estoque2[[#This Row],[estoque_sistema]]/fact_estoque2[[#This Row],[quantidade_anuncio]])</f>
        <v>22</v>
      </c>
      <c r="H3" s="1" t="s">
        <v>45</v>
      </c>
    </row>
    <row r="4" spans="1:8" x14ac:dyDescent="0.3">
      <c r="A4" s="1">
        <v>1000</v>
      </c>
      <c r="B4" s="2" t="s">
        <v>243</v>
      </c>
      <c r="C4" s="2" t="s">
        <v>314</v>
      </c>
      <c r="D4" s="1">
        <v>3</v>
      </c>
      <c r="E4" s="1">
        <f>_xlfn.XLOOKUP(fact_estoque2[[#This Row],[sku]], dim_produtos_1[sku], dim_produtos_1[estoque_sistema])</f>
        <v>44</v>
      </c>
      <c r="F4" s="1" t="s">
        <v>42</v>
      </c>
      <c r="G4" s="3">
        <f>INT(fact_estoque2[[#This Row],[estoque_sistema]]/fact_estoque2[[#This Row],[quantidade_anuncio]])</f>
        <v>14</v>
      </c>
      <c r="H4" s="1" t="s">
        <v>45</v>
      </c>
    </row>
    <row r="5" spans="1:8" x14ac:dyDescent="0.3">
      <c r="A5" s="1">
        <v>1000</v>
      </c>
      <c r="B5" s="2" t="s">
        <v>244</v>
      </c>
      <c r="C5" s="2" t="s">
        <v>315</v>
      </c>
      <c r="D5" s="1">
        <v>4</v>
      </c>
      <c r="E5" s="1">
        <f>_xlfn.XLOOKUP(fact_estoque2[[#This Row],[sku]], dim_produtos_1[sku], dim_produtos_1[estoque_sistema])</f>
        <v>44</v>
      </c>
      <c r="F5" s="1" t="s">
        <v>42</v>
      </c>
      <c r="G5" s="3">
        <f>INT(fact_estoque2[[#This Row],[estoque_sistema]]/fact_estoque2[[#This Row],[quantidade_anuncio]])</f>
        <v>11</v>
      </c>
      <c r="H5" s="1" t="s">
        <v>45</v>
      </c>
    </row>
    <row r="6" spans="1:8" x14ac:dyDescent="0.3">
      <c r="A6" s="1">
        <v>1001</v>
      </c>
      <c r="B6" s="2" t="s">
        <v>172</v>
      </c>
      <c r="C6" s="2" t="s">
        <v>316</v>
      </c>
      <c r="D6" s="1">
        <v>2</v>
      </c>
      <c r="E6" s="1">
        <f>_xlfn.XLOOKUP(fact_estoque2[[#This Row],[sku]], dim_produtos_1[sku], dim_produtos_1[estoque_sistema])</f>
        <v>21</v>
      </c>
      <c r="F6" s="1" t="s">
        <v>42</v>
      </c>
      <c r="G6" s="3">
        <f>INT(fact_estoque2[[#This Row],[estoque_sistema]]/fact_estoque2[[#This Row],[quantidade_anuncio]])</f>
        <v>10</v>
      </c>
      <c r="H6" s="1" t="s">
        <v>45</v>
      </c>
    </row>
    <row r="7" spans="1:8" x14ac:dyDescent="0.3">
      <c r="A7" s="1">
        <v>1001</v>
      </c>
      <c r="B7" s="2" t="s">
        <v>173</v>
      </c>
      <c r="C7" s="2" t="s">
        <v>317</v>
      </c>
      <c r="D7" s="1">
        <v>4</v>
      </c>
      <c r="E7" s="1">
        <f>_xlfn.XLOOKUP(fact_estoque2[[#This Row],[sku]], dim_produtos_1[sku], dim_produtos_1[estoque_sistema])</f>
        <v>21</v>
      </c>
      <c r="F7" s="1" t="s">
        <v>42</v>
      </c>
      <c r="G7" s="3">
        <f>INT(fact_estoque2[[#This Row],[estoque_sistema]]/fact_estoque2[[#This Row],[quantidade_anuncio]])</f>
        <v>5</v>
      </c>
      <c r="H7" s="1" t="s">
        <v>45</v>
      </c>
    </row>
    <row r="8" spans="1:8" x14ac:dyDescent="0.3">
      <c r="A8" s="1">
        <v>1003</v>
      </c>
      <c r="B8" s="2" t="s">
        <v>143</v>
      </c>
      <c r="C8" s="2" t="s">
        <v>304</v>
      </c>
      <c r="D8" s="1">
        <v>40</v>
      </c>
      <c r="E8" s="1">
        <f>_xlfn.XLOOKUP(fact_estoque2[[#This Row],[sku]], dim_produtos_1[sku], dim_produtos_1[estoque_sistema])</f>
        <v>694</v>
      </c>
      <c r="F8" s="1" t="s">
        <v>42</v>
      </c>
      <c r="G8" s="3">
        <f>INT(fact_estoque2[[#This Row],[estoque_sistema]]/fact_estoque2[[#This Row],[quantidade_anuncio]])</f>
        <v>17</v>
      </c>
      <c r="H8" s="1" t="s">
        <v>45</v>
      </c>
    </row>
    <row r="9" spans="1:8" x14ac:dyDescent="0.3">
      <c r="A9" s="1">
        <v>1003</v>
      </c>
      <c r="B9" s="2" t="s">
        <v>144</v>
      </c>
      <c r="C9" s="2" t="s">
        <v>305</v>
      </c>
      <c r="D9" s="1">
        <v>100</v>
      </c>
      <c r="E9" s="1">
        <f>_xlfn.XLOOKUP(fact_estoque2[[#This Row],[sku]], dim_produtos_1[sku], dim_produtos_1[estoque_sistema])</f>
        <v>694</v>
      </c>
      <c r="F9" s="1" t="s">
        <v>42</v>
      </c>
      <c r="G9" s="3">
        <f>INT(fact_estoque2[[#This Row],[estoque_sistema]]/fact_estoque2[[#This Row],[quantidade_anuncio]])</f>
        <v>6</v>
      </c>
      <c r="H9" s="1" t="s">
        <v>45</v>
      </c>
    </row>
    <row r="10" spans="1:8" x14ac:dyDescent="0.3">
      <c r="A10" s="1">
        <v>1003</v>
      </c>
      <c r="B10" s="2" t="s">
        <v>145</v>
      </c>
      <c r="C10" s="2" t="s">
        <v>306</v>
      </c>
      <c r="D10" s="1">
        <v>10</v>
      </c>
      <c r="E10" s="1">
        <f>_xlfn.XLOOKUP(fact_estoque2[[#This Row],[sku]], dim_produtos_1[sku], dim_produtos_1[estoque_sistema])</f>
        <v>694</v>
      </c>
      <c r="F10" s="1" t="s">
        <v>42</v>
      </c>
      <c r="G10" s="3">
        <f>INT(fact_estoque2[[#This Row],[estoque_sistema]]/fact_estoque2[[#This Row],[quantidade_anuncio]])</f>
        <v>69</v>
      </c>
      <c r="H10" s="1" t="s">
        <v>45</v>
      </c>
    </row>
    <row r="11" spans="1:8" x14ac:dyDescent="0.3">
      <c r="A11" s="1">
        <v>1003</v>
      </c>
      <c r="B11" s="2" t="s">
        <v>146</v>
      </c>
      <c r="C11" s="2" t="s">
        <v>307</v>
      </c>
      <c r="D11" s="1">
        <v>20</v>
      </c>
      <c r="E11" s="1">
        <f>_xlfn.XLOOKUP(fact_estoque2[[#This Row],[sku]], dim_produtos_1[sku], dim_produtos_1[estoque_sistema])</f>
        <v>694</v>
      </c>
      <c r="F11" s="1" t="s">
        <v>42</v>
      </c>
      <c r="G11" s="3">
        <f>INT(fact_estoque2[[#This Row],[estoque_sistema]]/fact_estoque2[[#This Row],[quantidade_anuncio]])</f>
        <v>34</v>
      </c>
      <c r="H11" s="1" t="s">
        <v>45</v>
      </c>
    </row>
    <row r="12" spans="1:8" x14ac:dyDescent="0.3">
      <c r="A12" s="1">
        <v>1003</v>
      </c>
      <c r="B12" s="2" t="s">
        <v>147</v>
      </c>
      <c r="C12" s="2" t="s">
        <v>308</v>
      </c>
      <c r="D12" s="1">
        <v>30</v>
      </c>
      <c r="E12" s="1">
        <f>_xlfn.XLOOKUP(fact_estoque2[[#This Row],[sku]], dim_produtos_1[sku], dim_produtos_1[estoque_sistema])</f>
        <v>694</v>
      </c>
      <c r="F12" s="1" t="s">
        <v>42</v>
      </c>
      <c r="G12" s="3">
        <f>INT(fact_estoque2[[#This Row],[estoque_sistema]]/fact_estoque2[[#This Row],[quantidade_anuncio]])</f>
        <v>23</v>
      </c>
      <c r="H12" s="1" t="s">
        <v>45</v>
      </c>
    </row>
    <row r="13" spans="1:8" x14ac:dyDescent="0.3">
      <c r="A13" s="1">
        <v>1003</v>
      </c>
      <c r="B13" s="2" t="s">
        <v>148</v>
      </c>
      <c r="C13" s="2" t="s">
        <v>309</v>
      </c>
      <c r="D13" s="1">
        <v>50</v>
      </c>
      <c r="E13" s="1">
        <f>_xlfn.XLOOKUP(fact_estoque2[[#This Row],[sku]], dim_produtos_1[sku], dim_produtos_1[estoque_sistema])</f>
        <v>694</v>
      </c>
      <c r="F13" s="1" t="s">
        <v>42</v>
      </c>
      <c r="G13" s="3">
        <f>INT(fact_estoque2[[#This Row],[estoque_sistema]]/fact_estoque2[[#This Row],[quantidade_anuncio]])</f>
        <v>13</v>
      </c>
      <c r="H13" s="1" t="s">
        <v>45</v>
      </c>
    </row>
    <row r="14" spans="1:8" x14ac:dyDescent="0.3">
      <c r="A14" s="1">
        <v>1004</v>
      </c>
      <c r="B14" s="2" t="s">
        <v>254</v>
      </c>
      <c r="C14" s="2" t="s">
        <v>432</v>
      </c>
      <c r="D14" s="1">
        <v>1</v>
      </c>
      <c r="E14" s="1">
        <f>_xlfn.XLOOKUP(fact_estoque2[[#This Row],[sku]], dim_produtos_1[sku], dim_produtos_1[estoque_sistema])</f>
        <v>33</v>
      </c>
      <c r="F14" s="1" t="s">
        <v>42</v>
      </c>
      <c r="G14" s="3">
        <f>INT(fact_estoque2[[#This Row],[estoque_sistema]]/fact_estoque2[[#This Row],[quantidade_anuncio]])</f>
        <v>33</v>
      </c>
      <c r="H14" s="1" t="s">
        <v>42</v>
      </c>
    </row>
    <row r="15" spans="1:8" x14ac:dyDescent="0.3">
      <c r="A15" s="1">
        <v>1004</v>
      </c>
      <c r="B15" s="2" t="s">
        <v>255</v>
      </c>
      <c r="C15" s="2" t="s">
        <v>318</v>
      </c>
      <c r="D15" s="1">
        <v>2</v>
      </c>
      <c r="E15" s="1">
        <f>_xlfn.XLOOKUP(fact_estoque2[[#This Row],[sku]], dim_produtos_1[sku], dim_produtos_1[estoque_sistema])</f>
        <v>33</v>
      </c>
      <c r="F15" s="1" t="s">
        <v>42</v>
      </c>
      <c r="G15" s="3">
        <f>INT(fact_estoque2[[#This Row],[estoque_sistema]]/fact_estoque2[[#This Row],[quantidade_anuncio]])</f>
        <v>16</v>
      </c>
      <c r="H15" s="1" t="s">
        <v>45</v>
      </c>
    </row>
    <row r="16" spans="1:8" x14ac:dyDescent="0.3">
      <c r="A16" s="1">
        <v>1004</v>
      </c>
      <c r="B16" s="2" t="s">
        <v>256</v>
      </c>
      <c r="C16" s="2" t="s">
        <v>319</v>
      </c>
      <c r="D16" s="1">
        <v>3</v>
      </c>
      <c r="E16" s="1">
        <f>_xlfn.XLOOKUP(fact_estoque2[[#This Row],[sku]], dim_produtos_1[sku], dim_produtos_1[estoque_sistema])</f>
        <v>33</v>
      </c>
      <c r="F16" s="1" t="s">
        <v>42</v>
      </c>
      <c r="G16" s="3">
        <f>INT(fact_estoque2[[#This Row],[estoque_sistema]]/fact_estoque2[[#This Row],[quantidade_anuncio]])</f>
        <v>11</v>
      </c>
      <c r="H16" s="1" t="s">
        <v>45</v>
      </c>
    </row>
    <row r="17" spans="1:8" x14ac:dyDescent="0.3">
      <c r="A17" s="1">
        <v>1004</v>
      </c>
      <c r="B17" s="2" t="s">
        <v>257</v>
      </c>
      <c r="C17" s="2" t="s">
        <v>320</v>
      </c>
      <c r="D17" s="1">
        <v>4</v>
      </c>
      <c r="E17" s="1">
        <f>_xlfn.XLOOKUP(fact_estoque2[[#This Row],[sku]], dim_produtos_1[sku], dim_produtos_1[estoque_sistema])</f>
        <v>33</v>
      </c>
      <c r="F17" s="1" t="s">
        <v>42</v>
      </c>
      <c r="G17" s="3">
        <f>INT(fact_estoque2[[#This Row],[estoque_sistema]]/fact_estoque2[[#This Row],[quantidade_anuncio]])</f>
        <v>8</v>
      </c>
      <c r="H17" s="1" t="s">
        <v>45</v>
      </c>
    </row>
    <row r="18" spans="1:8" x14ac:dyDescent="0.3">
      <c r="A18" s="1">
        <v>1005</v>
      </c>
      <c r="B18" s="2" t="s">
        <v>239</v>
      </c>
      <c r="C18" s="2" t="s">
        <v>433</v>
      </c>
      <c r="D18" s="1">
        <v>1</v>
      </c>
      <c r="E18" s="1">
        <f>_xlfn.XLOOKUP(fact_estoque2[[#This Row],[sku]], dim_produtos_1[sku], dim_produtos_1[estoque_sistema])</f>
        <v>20</v>
      </c>
      <c r="F18" s="1" t="s">
        <v>42</v>
      </c>
      <c r="G18" s="3">
        <f>INT(fact_estoque2[[#This Row],[estoque_sistema]]/fact_estoque2[[#This Row],[quantidade_anuncio]])</f>
        <v>20</v>
      </c>
      <c r="H18" s="1" t="s">
        <v>42</v>
      </c>
    </row>
    <row r="19" spans="1:8" x14ac:dyDescent="0.3">
      <c r="A19" s="1">
        <v>1005</v>
      </c>
      <c r="B19" s="2" t="s">
        <v>240</v>
      </c>
      <c r="C19" s="2" t="s">
        <v>321</v>
      </c>
      <c r="D19" s="1">
        <v>2</v>
      </c>
      <c r="E19" s="1">
        <f>_xlfn.XLOOKUP(fact_estoque2[[#This Row],[sku]], dim_produtos_1[sku], dim_produtos_1[estoque_sistema])</f>
        <v>20</v>
      </c>
      <c r="F19" s="1" t="s">
        <v>42</v>
      </c>
      <c r="G19" s="3">
        <f>INT(fact_estoque2[[#This Row],[estoque_sistema]]/fact_estoque2[[#This Row],[quantidade_anuncio]])</f>
        <v>10</v>
      </c>
      <c r="H19" s="1" t="s">
        <v>45</v>
      </c>
    </row>
    <row r="20" spans="1:8" x14ac:dyDescent="0.3">
      <c r="A20" s="1">
        <v>1008</v>
      </c>
      <c r="B20" s="2" t="s">
        <v>208</v>
      </c>
      <c r="C20" s="2" t="s">
        <v>322</v>
      </c>
      <c r="D20" s="1">
        <v>10</v>
      </c>
      <c r="E20" s="1">
        <f>_xlfn.XLOOKUP(fact_estoque2[[#This Row],[sku]], dim_produtos_1[sku], dim_produtos_1[estoque_sistema])</f>
        <v>39</v>
      </c>
      <c r="F20" s="1" t="s">
        <v>42</v>
      </c>
      <c r="G20" s="3">
        <f>INT(fact_estoque2[[#This Row],[estoque_sistema]]/fact_estoque2[[#This Row],[quantidade_anuncio]])</f>
        <v>3</v>
      </c>
      <c r="H20" s="1" t="s">
        <v>45</v>
      </c>
    </row>
    <row r="21" spans="1:8" x14ac:dyDescent="0.3">
      <c r="A21" s="1">
        <v>1009</v>
      </c>
      <c r="B21" s="2" t="s">
        <v>199</v>
      </c>
      <c r="C21" s="2" t="s">
        <v>434</v>
      </c>
      <c r="D21" s="1">
        <v>1</v>
      </c>
      <c r="E21" s="1">
        <f>_xlfn.XLOOKUP(fact_estoque2[[#This Row],[sku]], dim_produtos_1[sku], dim_produtos_1[estoque_sistema])</f>
        <v>16</v>
      </c>
      <c r="F21" s="1" t="s">
        <v>42</v>
      </c>
      <c r="G21" s="3">
        <f>INT(fact_estoque2[[#This Row],[estoque_sistema]]/fact_estoque2[[#This Row],[quantidade_anuncio]])</f>
        <v>16</v>
      </c>
      <c r="H21" s="1" t="s">
        <v>42</v>
      </c>
    </row>
    <row r="22" spans="1:8" x14ac:dyDescent="0.3">
      <c r="A22" s="1">
        <v>1009</v>
      </c>
      <c r="B22" s="2" t="s">
        <v>200</v>
      </c>
      <c r="C22" s="2" t="s">
        <v>323</v>
      </c>
      <c r="D22" s="1">
        <v>5</v>
      </c>
      <c r="E22" s="1">
        <f>_xlfn.XLOOKUP(fact_estoque2[[#This Row],[sku]], dim_produtos_1[sku], dim_produtos_1[estoque_sistema])</f>
        <v>16</v>
      </c>
      <c r="F22" s="1" t="s">
        <v>42</v>
      </c>
      <c r="G22" s="3">
        <f>INT(fact_estoque2[[#This Row],[estoque_sistema]]/fact_estoque2[[#This Row],[quantidade_anuncio]])</f>
        <v>3</v>
      </c>
      <c r="H22" s="1" t="s">
        <v>45</v>
      </c>
    </row>
    <row r="23" spans="1:8" x14ac:dyDescent="0.3">
      <c r="A23" s="1">
        <v>1009</v>
      </c>
      <c r="B23" s="2" t="s">
        <v>201</v>
      </c>
      <c r="C23" s="2" t="s">
        <v>324</v>
      </c>
      <c r="D23" s="1">
        <v>10</v>
      </c>
      <c r="E23" s="1">
        <f>_xlfn.XLOOKUP(fact_estoque2[[#This Row],[sku]], dim_produtos_1[sku], dim_produtos_1[estoque_sistema])</f>
        <v>16</v>
      </c>
      <c r="F23" s="1" t="s">
        <v>42</v>
      </c>
      <c r="G23" s="3">
        <f>INT(fact_estoque2[[#This Row],[estoque_sistema]]/fact_estoque2[[#This Row],[quantidade_anuncio]])</f>
        <v>1</v>
      </c>
      <c r="H23" s="1" t="s">
        <v>45</v>
      </c>
    </row>
    <row r="24" spans="1:8" x14ac:dyDescent="0.3">
      <c r="A24" s="1">
        <v>1010</v>
      </c>
      <c r="B24" s="2" t="s">
        <v>220</v>
      </c>
      <c r="C24" s="2" t="s">
        <v>435</v>
      </c>
      <c r="D24" s="1">
        <v>1</v>
      </c>
      <c r="E24" s="1">
        <f>_xlfn.XLOOKUP(fact_estoque2[[#This Row],[sku]], dim_produtos_1[sku], dim_produtos_1[estoque_sistema])</f>
        <v>3</v>
      </c>
      <c r="F24" s="1" t="s">
        <v>42</v>
      </c>
      <c r="G24" s="3">
        <f>INT(fact_estoque2[[#This Row],[estoque_sistema]]/fact_estoque2[[#This Row],[quantidade_anuncio]])</f>
        <v>3</v>
      </c>
      <c r="H24" s="1" t="s">
        <v>42</v>
      </c>
    </row>
    <row r="25" spans="1:8" x14ac:dyDescent="0.3">
      <c r="A25" s="1">
        <v>1011</v>
      </c>
      <c r="B25" s="2" t="s">
        <v>222</v>
      </c>
      <c r="C25" s="2" t="s">
        <v>436</v>
      </c>
      <c r="D25" s="1">
        <v>1</v>
      </c>
      <c r="E25" s="1">
        <f>_xlfn.XLOOKUP(fact_estoque2[[#This Row],[sku]], dim_produtos_1[sku], dim_produtos_1[estoque_sistema])</f>
        <v>8</v>
      </c>
      <c r="F25" s="1" t="s">
        <v>42</v>
      </c>
      <c r="G25" s="3">
        <f>INT(fact_estoque2[[#This Row],[estoque_sistema]]/fact_estoque2[[#This Row],[quantidade_anuncio]])</f>
        <v>8</v>
      </c>
      <c r="H25" s="1" t="s">
        <v>42</v>
      </c>
    </row>
    <row r="26" spans="1:8" x14ac:dyDescent="0.3">
      <c r="A26" s="1">
        <v>1012</v>
      </c>
      <c r="B26" s="2" t="s">
        <v>262</v>
      </c>
      <c r="C26" s="2" t="s">
        <v>325</v>
      </c>
      <c r="D26" s="1">
        <v>2</v>
      </c>
      <c r="E26" s="1">
        <f>_xlfn.XLOOKUP(fact_estoque2[[#This Row],[sku]], dim_produtos_1[sku], dim_produtos_1[estoque_sistema])</f>
        <v>195</v>
      </c>
      <c r="F26" s="1" t="s">
        <v>43</v>
      </c>
      <c r="G26" s="3">
        <f>INT(fact_estoque2[[#This Row],[estoque_sistema]]/fact_estoque2[[#This Row],[quantidade_anuncio]])</f>
        <v>97</v>
      </c>
      <c r="H26" s="1" t="s">
        <v>45</v>
      </c>
    </row>
    <row r="27" spans="1:8" x14ac:dyDescent="0.3">
      <c r="A27" s="1">
        <v>1013</v>
      </c>
      <c r="B27" s="2" t="s">
        <v>181</v>
      </c>
      <c r="C27" s="2" t="s">
        <v>437</v>
      </c>
      <c r="D27" s="1">
        <v>1</v>
      </c>
      <c r="E27" s="1">
        <f>_xlfn.XLOOKUP(fact_estoque2[[#This Row],[sku]], dim_produtos_1[sku], dim_produtos_1[estoque_sistema])</f>
        <v>78</v>
      </c>
      <c r="F27" s="1" t="s">
        <v>42</v>
      </c>
      <c r="G27" s="3">
        <f>INT(fact_estoque2[[#This Row],[estoque_sistema]]/fact_estoque2[[#This Row],[quantidade_anuncio]])</f>
        <v>78</v>
      </c>
      <c r="H27" s="1" t="s">
        <v>42</v>
      </c>
    </row>
    <row r="28" spans="1:8" x14ac:dyDescent="0.3">
      <c r="A28" s="1">
        <v>1014</v>
      </c>
      <c r="B28" s="2" t="s">
        <v>245</v>
      </c>
      <c r="C28" s="2" t="s">
        <v>438</v>
      </c>
      <c r="D28" s="1">
        <v>1</v>
      </c>
      <c r="E28" s="1">
        <f>_xlfn.XLOOKUP(fact_estoque2[[#This Row],[sku]], dim_produtos_1[sku], dim_produtos_1[estoque_sistema])</f>
        <v>9</v>
      </c>
      <c r="F28" s="1" t="s">
        <v>42</v>
      </c>
      <c r="G28" s="3">
        <f>INT(fact_estoque2[[#This Row],[estoque_sistema]]/fact_estoque2[[#This Row],[quantidade_anuncio]])</f>
        <v>9</v>
      </c>
      <c r="H28" s="1" t="s">
        <v>42</v>
      </c>
    </row>
    <row r="29" spans="1:8" x14ac:dyDescent="0.3">
      <c r="A29" s="1">
        <v>1014</v>
      </c>
      <c r="B29" s="2" t="s">
        <v>246</v>
      </c>
      <c r="C29" s="2" t="s">
        <v>326</v>
      </c>
      <c r="D29" s="1">
        <v>2</v>
      </c>
      <c r="E29" s="1">
        <f>_xlfn.XLOOKUP(fact_estoque2[[#This Row],[sku]], dim_produtos_1[sku], dim_produtos_1[estoque_sistema])</f>
        <v>9</v>
      </c>
      <c r="F29" s="1" t="s">
        <v>42</v>
      </c>
      <c r="G29" s="3">
        <f>INT(fact_estoque2[[#This Row],[estoque_sistema]]/fact_estoque2[[#This Row],[quantidade_anuncio]])</f>
        <v>4</v>
      </c>
      <c r="H29" s="1" t="s">
        <v>45</v>
      </c>
    </row>
    <row r="30" spans="1:8" x14ac:dyDescent="0.3">
      <c r="A30" s="1">
        <v>1014</v>
      </c>
      <c r="B30" s="2" t="s">
        <v>247</v>
      </c>
      <c r="C30" s="2" t="s">
        <v>327</v>
      </c>
      <c r="D30" s="1">
        <v>3</v>
      </c>
      <c r="E30" s="1">
        <f>_xlfn.XLOOKUP(fact_estoque2[[#This Row],[sku]], dim_produtos_1[sku], dim_produtos_1[estoque_sistema])</f>
        <v>9</v>
      </c>
      <c r="F30" s="1" t="s">
        <v>42</v>
      </c>
      <c r="G30" s="3">
        <f>INT(fact_estoque2[[#This Row],[estoque_sistema]]/fact_estoque2[[#This Row],[quantidade_anuncio]])</f>
        <v>3</v>
      </c>
      <c r="H30" s="1" t="s">
        <v>45</v>
      </c>
    </row>
    <row r="31" spans="1:8" x14ac:dyDescent="0.3">
      <c r="A31" s="1">
        <v>1015</v>
      </c>
      <c r="B31" s="2" t="s">
        <v>260</v>
      </c>
      <c r="C31" s="2" t="s">
        <v>439</v>
      </c>
      <c r="D31" s="1">
        <v>1</v>
      </c>
      <c r="E31" s="1">
        <f>_xlfn.XLOOKUP(fact_estoque2[[#This Row],[sku]], dim_produtos_1[sku], dim_produtos_1[estoque_sistema])</f>
        <v>7</v>
      </c>
      <c r="F31" s="1" t="s">
        <v>42</v>
      </c>
      <c r="G31" s="3">
        <f>INT(fact_estoque2[[#This Row],[estoque_sistema]]/fact_estoque2[[#This Row],[quantidade_anuncio]])</f>
        <v>7</v>
      </c>
      <c r="H31" s="1" t="s">
        <v>42</v>
      </c>
    </row>
    <row r="32" spans="1:8" x14ac:dyDescent="0.3">
      <c r="A32" s="1">
        <v>1015</v>
      </c>
      <c r="B32" s="2" t="s">
        <v>261</v>
      </c>
      <c r="C32" s="2" t="s">
        <v>328</v>
      </c>
      <c r="D32" s="1">
        <v>5</v>
      </c>
      <c r="E32" s="1">
        <f>_xlfn.XLOOKUP(fact_estoque2[[#This Row],[sku]], dim_produtos_1[sku], dim_produtos_1[estoque_sistema])</f>
        <v>7</v>
      </c>
      <c r="F32" s="1" t="s">
        <v>42</v>
      </c>
      <c r="G32" s="3">
        <f>INT(fact_estoque2[[#This Row],[estoque_sistema]]/fact_estoque2[[#This Row],[quantidade_anuncio]])</f>
        <v>1</v>
      </c>
      <c r="H32" s="1" t="s">
        <v>45</v>
      </c>
    </row>
    <row r="33" spans="1:8" x14ac:dyDescent="0.3">
      <c r="A33" s="1">
        <v>1016</v>
      </c>
      <c r="B33" s="2" t="s">
        <v>303</v>
      </c>
      <c r="C33" s="2" t="s">
        <v>329</v>
      </c>
      <c r="D33" s="1">
        <v>150</v>
      </c>
      <c r="E33" s="1">
        <v>161</v>
      </c>
      <c r="F33" s="1" t="s">
        <v>42</v>
      </c>
      <c r="G33" s="3">
        <f>INT(fact_estoque2[[#This Row],[estoque_sistema]]/fact_estoque2[[#This Row],[quantidade_anuncio]])</f>
        <v>1</v>
      </c>
      <c r="H33" s="1" t="s">
        <v>45</v>
      </c>
    </row>
    <row r="34" spans="1:8" x14ac:dyDescent="0.3">
      <c r="A34" s="1">
        <v>1017</v>
      </c>
      <c r="B34" s="2" t="s">
        <v>273</v>
      </c>
      <c r="C34" s="2" t="s">
        <v>440</v>
      </c>
      <c r="D34" s="1">
        <v>1</v>
      </c>
      <c r="E34" s="1">
        <f>_xlfn.XLOOKUP(fact_estoque2[[#This Row],[sku]], dim_produtos_1[sku], dim_produtos_1[estoque_sistema])</f>
        <v>45</v>
      </c>
      <c r="F34" s="1" t="s">
        <v>42</v>
      </c>
      <c r="G34" s="3">
        <f>INT(fact_estoque2[[#This Row],[estoque_sistema]]/fact_estoque2[[#This Row],[quantidade_anuncio]])</f>
        <v>45</v>
      </c>
      <c r="H34" s="1" t="s">
        <v>42</v>
      </c>
    </row>
    <row r="35" spans="1:8" x14ac:dyDescent="0.3">
      <c r="A35" s="1">
        <v>1018</v>
      </c>
      <c r="B35" s="2" t="s">
        <v>265</v>
      </c>
      <c r="C35" s="2" t="s">
        <v>330</v>
      </c>
      <c r="D35" s="1">
        <v>10</v>
      </c>
      <c r="E35" s="1">
        <f>_xlfn.XLOOKUP(fact_estoque2[[#This Row],[sku]], dim_produtos_1[sku], dim_produtos_1[estoque_sistema])</f>
        <v>444</v>
      </c>
      <c r="F35" s="1" t="s">
        <v>42</v>
      </c>
      <c r="G35" s="3">
        <f>INT(fact_estoque2[[#This Row],[estoque_sistema]]/fact_estoque2[[#This Row],[quantidade_anuncio]])</f>
        <v>44</v>
      </c>
      <c r="H35" s="1" t="s">
        <v>45</v>
      </c>
    </row>
    <row r="36" spans="1:8" x14ac:dyDescent="0.3">
      <c r="A36" s="1">
        <v>1018</v>
      </c>
      <c r="B36" s="2" t="s">
        <v>266</v>
      </c>
      <c r="C36" s="2" t="s">
        <v>331</v>
      </c>
      <c r="D36" s="1">
        <v>20</v>
      </c>
      <c r="E36" s="1">
        <f>_xlfn.XLOOKUP(fact_estoque2[[#This Row],[sku]], dim_produtos_1[sku], dim_produtos_1[estoque_sistema])</f>
        <v>444</v>
      </c>
      <c r="F36" s="1" t="s">
        <v>42</v>
      </c>
      <c r="G36" s="3">
        <f>INT(fact_estoque2[[#This Row],[estoque_sistema]]/fact_estoque2[[#This Row],[quantidade_anuncio]])</f>
        <v>22</v>
      </c>
      <c r="H36" s="1" t="s">
        <v>45</v>
      </c>
    </row>
    <row r="37" spans="1:8" x14ac:dyDescent="0.3">
      <c r="A37" s="1">
        <v>1018</v>
      </c>
      <c r="B37" s="2" t="s">
        <v>267</v>
      </c>
      <c r="C37" s="2" t="s">
        <v>332</v>
      </c>
      <c r="D37" s="1">
        <v>15</v>
      </c>
      <c r="E37" s="1">
        <f>_xlfn.XLOOKUP(fact_estoque2[[#This Row],[sku]], dim_produtos_1[sku], dim_produtos_1[estoque_sistema])</f>
        <v>444</v>
      </c>
      <c r="F37" s="1" t="s">
        <v>42</v>
      </c>
      <c r="G37" s="3">
        <f>INT(fact_estoque2[[#This Row],[estoque_sistema]]/fact_estoque2[[#This Row],[quantidade_anuncio]])</f>
        <v>29</v>
      </c>
      <c r="H37" s="1" t="s">
        <v>45</v>
      </c>
    </row>
    <row r="38" spans="1:8" x14ac:dyDescent="0.3">
      <c r="A38" s="1">
        <v>1018</v>
      </c>
      <c r="B38" s="2" t="s">
        <v>268</v>
      </c>
      <c r="C38" s="2" t="s">
        <v>333</v>
      </c>
      <c r="D38" s="1">
        <v>50</v>
      </c>
      <c r="E38" s="1">
        <f>_xlfn.XLOOKUP(fact_estoque2[[#This Row],[sku]], dim_produtos_1[sku], dim_produtos_1[estoque_sistema])</f>
        <v>444</v>
      </c>
      <c r="F38" s="1" t="s">
        <v>42</v>
      </c>
      <c r="G38" s="3">
        <f>INT(fact_estoque2[[#This Row],[estoque_sistema]]/fact_estoque2[[#This Row],[quantidade_anuncio]])</f>
        <v>8</v>
      </c>
      <c r="H38" s="1" t="s">
        <v>45</v>
      </c>
    </row>
    <row r="39" spans="1:8" x14ac:dyDescent="0.3">
      <c r="A39" s="1">
        <v>1019</v>
      </c>
      <c r="B39" s="2" t="s">
        <v>223</v>
      </c>
      <c r="C39" s="2" t="s">
        <v>441</v>
      </c>
      <c r="D39" s="1">
        <v>1</v>
      </c>
      <c r="E39" s="1">
        <f>_xlfn.XLOOKUP(fact_estoque2[[#This Row],[sku]], dim_produtos_1[sku], dim_produtos_1[estoque_sistema])</f>
        <v>5</v>
      </c>
      <c r="F39" s="1" t="s">
        <v>42</v>
      </c>
      <c r="G39" s="3">
        <f>INT(fact_estoque2[[#This Row],[estoque_sistema]]/fact_estoque2[[#This Row],[quantidade_anuncio]])</f>
        <v>5</v>
      </c>
      <c r="H39" s="1" t="s">
        <v>42</v>
      </c>
    </row>
    <row r="40" spans="1:8" x14ac:dyDescent="0.3">
      <c r="A40" s="1">
        <v>1019</v>
      </c>
      <c r="B40" s="2" t="s">
        <v>224</v>
      </c>
      <c r="C40" s="2" t="s">
        <v>334</v>
      </c>
      <c r="D40" s="1">
        <v>5</v>
      </c>
      <c r="E40" s="1">
        <f>_xlfn.XLOOKUP(fact_estoque2[[#This Row],[sku]], dim_produtos_1[sku], dim_produtos_1[estoque_sistema])</f>
        <v>5</v>
      </c>
      <c r="F40" s="1" t="s">
        <v>42</v>
      </c>
      <c r="G40" s="3">
        <f>INT(fact_estoque2[[#This Row],[estoque_sistema]]/fact_estoque2[[#This Row],[quantidade_anuncio]])</f>
        <v>1</v>
      </c>
      <c r="H40" s="1" t="s">
        <v>45</v>
      </c>
    </row>
    <row r="41" spans="1:8" x14ac:dyDescent="0.3">
      <c r="A41" s="1">
        <v>1020</v>
      </c>
      <c r="B41" s="2" t="s">
        <v>225</v>
      </c>
      <c r="C41" s="2" t="s">
        <v>335</v>
      </c>
      <c r="D41" s="1">
        <v>10</v>
      </c>
      <c r="E41" s="1">
        <f>_xlfn.XLOOKUP(fact_estoque2[[#This Row],[sku]], dim_produtos_1[sku], dim_produtos_1[estoque_sistema])</f>
        <v>123</v>
      </c>
      <c r="F41" s="1" t="s">
        <v>42</v>
      </c>
      <c r="G41" s="3">
        <f>INT(fact_estoque2[[#This Row],[estoque_sistema]]/fact_estoque2[[#This Row],[quantidade_anuncio]])</f>
        <v>12</v>
      </c>
      <c r="H41" s="1" t="s">
        <v>45</v>
      </c>
    </row>
    <row r="42" spans="1:8" x14ac:dyDescent="0.3">
      <c r="A42" s="1">
        <v>1021</v>
      </c>
      <c r="B42" s="2" t="s">
        <v>298</v>
      </c>
      <c r="C42" s="2" t="s">
        <v>442</v>
      </c>
      <c r="D42" s="1">
        <v>1</v>
      </c>
      <c r="E42" s="1">
        <f>_xlfn.XLOOKUP(fact_estoque2[[#This Row],[sku]], dim_produtos_1[sku], dim_produtos_1[estoque_sistema])</f>
        <v>78</v>
      </c>
      <c r="F42" s="1" t="s">
        <v>42</v>
      </c>
      <c r="G42" s="3">
        <f>INT(fact_estoque2[[#This Row],[estoque_sistema]]/fact_estoque2[[#This Row],[quantidade_anuncio]])</f>
        <v>78</v>
      </c>
      <c r="H42" s="1" t="s">
        <v>42</v>
      </c>
    </row>
    <row r="43" spans="1:8" x14ac:dyDescent="0.3">
      <c r="A43" s="1">
        <v>1022</v>
      </c>
      <c r="B43" s="2" t="s">
        <v>287</v>
      </c>
      <c r="C43" s="2" t="s">
        <v>443</v>
      </c>
      <c r="D43" s="1">
        <v>1</v>
      </c>
      <c r="E43" s="1">
        <f>_xlfn.XLOOKUP(fact_estoque2[[#This Row],[sku]], dim_produtos_1[sku], dim_produtos_1[estoque_sistema])</f>
        <v>9</v>
      </c>
      <c r="F43" s="1" t="s">
        <v>42</v>
      </c>
      <c r="G43" s="3">
        <f>INT(fact_estoque2[[#This Row],[estoque_sistema]]/fact_estoque2[[#This Row],[quantidade_anuncio]])</f>
        <v>9</v>
      </c>
      <c r="H43" s="1" t="s">
        <v>42</v>
      </c>
    </row>
    <row r="44" spans="1:8" x14ac:dyDescent="0.3">
      <c r="A44" s="1">
        <v>1023</v>
      </c>
      <c r="B44" s="2" t="s">
        <v>275</v>
      </c>
      <c r="C44" s="2" t="s">
        <v>444</v>
      </c>
      <c r="D44" s="1">
        <v>1</v>
      </c>
      <c r="E44" s="1">
        <f>_xlfn.XLOOKUP(fact_estoque2[[#This Row],[sku]], dim_produtos_1[sku], dim_produtos_1[estoque_sistema])</f>
        <v>9</v>
      </c>
      <c r="F44" s="1" t="s">
        <v>42</v>
      </c>
      <c r="G44" s="3">
        <f>INT(fact_estoque2[[#This Row],[estoque_sistema]]/fact_estoque2[[#This Row],[quantidade_anuncio]])</f>
        <v>9</v>
      </c>
      <c r="H44" s="1" t="s">
        <v>42</v>
      </c>
    </row>
    <row r="45" spans="1:8" x14ac:dyDescent="0.3">
      <c r="A45" s="1">
        <v>1023</v>
      </c>
      <c r="B45" s="2" t="s">
        <v>276</v>
      </c>
      <c r="C45" s="2" t="s">
        <v>336</v>
      </c>
      <c r="D45" s="1">
        <v>5</v>
      </c>
      <c r="E45" s="1">
        <f>_xlfn.XLOOKUP(fact_estoque2[[#This Row],[sku]], dim_produtos_1[sku], dim_produtos_1[estoque_sistema])</f>
        <v>9</v>
      </c>
      <c r="F45" s="1" t="s">
        <v>42</v>
      </c>
      <c r="G45" s="3">
        <f>INT(fact_estoque2[[#This Row],[estoque_sistema]]/fact_estoque2[[#This Row],[quantidade_anuncio]])</f>
        <v>1</v>
      </c>
      <c r="H45" s="1" t="s">
        <v>45</v>
      </c>
    </row>
    <row r="46" spans="1:8" x14ac:dyDescent="0.3">
      <c r="A46" s="1">
        <v>1023</v>
      </c>
      <c r="B46" s="2" t="s">
        <v>277</v>
      </c>
      <c r="C46" s="2" t="s">
        <v>337</v>
      </c>
      <c r="D46" s="1">
        <v>2</v>
      </c>
      <c r="E46" s="1">
        <f>_xlfn.XLOOKUP(fact_estoque2[[#This Row],[sku]], dim_produtos_1[sku], dim_produtos_1[estoque_sistema])</f>
        <v>9</v>
      </c>
      <c r="F46" s="1" t="s">
        <v>42</v>
      </c>
      <c r="G46" s="3">
        <f>INT(fact_estoque2[[#This Row],[estoque_sistema]]/fact_estoque2[[#This Row],[quantidade_anuncio]])</f>
        <v>4</v>
      </c>
      <c r="H46" s="1" t="s">
        <v>45</v>
      </c>
    </row>
    <row r="47" spans="1:8" x14ac:dyDescent="0.3">
      <c r="A47" s="1">
        <v>1024</v>
      </c>
      <c r="B47" s="2" t="s">
        <v>202</v>
      </c>
      <c r="C47" s="2" t="s">
        <v>338</v>
      </c>
      <c r="D47" s="1">
        <v>10</v>
      </c>
      <c r="E47" s="1">
        <f>_xlfn.XLOOKUP(fact_estoque2[[#This Row],[sku]], dim_produtos_1[sku], dim_produtos_1[estoque_sistema])</f>
        <v>19</v>
      </c>
      <c r="F47" s="1" t="s">
        <v>42</v>
      </c>
      <c r="G47" s="3">
        <f>INT(fact_estoque2[[#This Row],[estoque_sistema]]/fact_estoque2[[#This Row],[quantidade_anuncio]])</f>
        <v>1</v>
      </c>
      <c r="H47" s="1" t="s">
        <v>45</v>
      </c>
    </row>
    <row r="48" spans="1:8" x14ac:dyDescent="0.3">
      <c r="A48" s="1">
        <v>1025</v>
      </c>
      <c r="B48" s="2" t="s">
        <v>169</v>
      </c>
      <c r="C48" s="2" t="s">
        <v>339</v>
      </c>
      <c r="D48" s="1">
        <v>10</v>
      </c>
      <c r="E48" s="1">
        <f>_xlfn.XLOOKUP(fact_estoque2[[#This Row],[sku]], dim_produtos_1[sku], dim_produtos_1[estoque_sistema])</f>
        <v>307</v>
      </c>
      <c r="F48" s="1" t="s">
        <v>42</v>
      </c>
      <c r="G48" s="3">
        <f>INT(fact_estoque2[[#This Row],[estoque_sistema]]/fact_estoque2[[#This Row],[quantidade_anuncio]])</f>
        <v>30</v>
      </c>
      <c r="H48" s="1" t="s">
        <v>45</v>
      </c>
    </row>
    <row r="49" spans="1:8" x14ac:dyDescent="0.3">
      <c r="A49" s="1">
        <v>1026</v>
      </c>
      <c r="B49" s="2" t="s">
        <v>204</v>
      </c>
      <c r="C49" s="2" t="s">
        <v>445</v>
      </c>
      <c r="D49" s="1">
        <v>1</v>
      </c>
      <c r="E49" s="1">
        <f>_xlfn.XLOOKUP(fact_estoque2[[#This Row],[sku]], dim_produtos_1[sku], dim_produtos_1[estoque_sistema])</f>
        <v>3</v>
      </c>
      <c r="F49" s="1" t="s">
        <v>42</v>
      </c>
      <c r="G49" s="3">
        <f>INT(fact_estoque2[[#This Row],[estoque_sistema]]/fact_estoque2[[#This Row],[quantidade_anuncio]])</f>
        <v>3</v>
      </c>
      <c r="H49" s="1" t="s">
        <v>42</v>
      </c>
    </row>
    <row r="50" spans="1:8" x14ac:dyDescent="0.3">
      <c r="A50" s="1">
        <v>1027</v>
      </c>
      <c r="B50" s="2" t="s">
        <v>274</v>
      </c>
      <c r="C50" s="2" t="s">
        <v>446</v>
      </c>
      <c r="D50" s="1">
        <v>1</v>
      </c>
      <c r="E50" s="1">
        <f>_xlfn.XLOOKUP(fact_estoque2[[#This Row],[sku]], dim_produtos_1[sku], dim_produtos_1[estoque_sistema])</f>
        <v>1</v>
      </c>
      <c r="F50" s="1" t="s">
        <v>42</v>
      </c>
      <c r="G50" s="3">
        <f>INT(fact_estoque2[[#This Row],[estoque_sistema]]/fact_estoque2[[#This Row],[quantidade_anuncio]])</f>
        <v>1</v>
      </c>
      <c r="H50" s="1" t="s">
        <v>42</v>
      </c>
    </row>
    <row r="51" spans="1:8" x14ac:dyDescent="0.3">
      <c r="A51" s="1">
        <v>1028</v>
      </c>
      <c r="B51" s="2" t="s">
        <v>193</v>
      </c>
      <c r="C51" s="2" t="s">
        <v>447</v>
      </c>
      <c r="D51" s="1">
        <v>1</v>
      </c>
      <c r="E51" s="1">
        <f>_xlfn.XLOOKUP(fact_estoque2[[#This Row],[sku]], dim_produtos_1[sku], dim_produtos_1[estoque_sistema])</f>
        <v>13</v>
      </c>
      <c r="F51" s="1" t="s">
        <v>42</v>
      </c>
      <c r="G51" s="3">
        <f>INT(fact_estoque2[[#This Row],[estoque_sistema]]/fact_estoque2[[#This Row],[quantidade_anuncio]])</f>
        <v>13</v>
      </c>
      <c r="H51" s="1" t="s">
        <v>42</v>
      </c>
    </row>
    <row r="52" spans="1:8" x14ac:dyDescent="0.3">
      <c r="A52" s="1">
        <v>1028</v>
      </c>
      <c r="B52" s="2" t="s">
        <v>194</v>
      </c>
      <c r="C52" s="2" t="s">
        <v>340</v>
      </c>
      <c r="D52" s="1">
        <v>5</v>
      </c>
      <c r="E52" s="1">
        <f>_xlfn.XLOOKUP(fact_estoque2[[#This Row],[sku]], dim_produtos_1[sku], dim_produtos_1[estoque_sistema])</f>
        <v>13</v>
      </c>
      <c r="F52" s="1" t="s">
        <v>42</v>
      </c>
      <c r="G52" s="3">
        <f>INT(fact_estoque2[[#This Row],[estoque_sistema]]/fact_estoque2[[#This Row],[quantidade_anuncio]])</f>
        <v>2</v>
      </c>
      <c r="H52" s="1" t="s">
        <v>45</v>
      </c>
    </row>
    <row r="53" spans="1:8" x14ac:dyDescent="0.3">
      <c r="A53" s="1">
        <v>1028</v>
      </c>
      <c r="B53" s="2" t="s">
        <v>195</v>
      </c>
      <c r="C53" s="2" t="s">
        <v>341</v>
      </c>
      <c r="D53" s="1">
        <v>10</v>
      </c>
      <c r="E53" s="1">
        <f>_xlfn.XLOOKUP(fact_estoque2[[#This Row],[sku]], dim_produtos_1[sku], dim_produtos_1[estoque_sistema])</f>
        <v>13</v>
      </c>
      <c r="F53" s="1" t="s">
        <v>42</v>
      </c>
      <c r="G53" s="3">
        <f>INT(fact_estoque2[[#This Row],[estoque_sistema]]/fact_estoque2[[#This Row],[quantidade_anuncio]])</f>
        <v>1</v>
      </c>
      <c r="H53" s="1" t="s">
        <v>45</v>
      </c>
    </row>
    <row r="54" spans="1:8" x14ac:dyDescent="0.3">
      <c r="A54" s="1">
        <v>1030</v>
      </c>
      <c r="B54" s="2" t="s">
        <v>282</v>
      </c>
      <c r="C54" s="2" t="s">
        <v>343</v>
      </c>
      <c r="D54" s="1">
        <v>10</v>
      </c>
      <c r="E54" s="1">
        <f>_xlfn.XLOOKUP(fact_estoque2[[#This Row],[sku]], dim_produtos_1[sku], dim_produtos_1[estoque_sistema])</f>
        <v>63</v>
      </c>
      <c r="F54" s="1" t="s">
        <v>42</v>
      </c>
      <c r="G54" s="3">
        <f>INT(fact_estoque2[[#This Row],[estoque_sistema]]/fact_estoque2[[#This Row],[quantidade_anuncio]])</f>
        <v>6</v>
      </c>
      <c r="H54" s="1" t="s">
        <v>45</v>
      </c>
    </row>
    <row r="55" spans="1:8" x14ac:dyDescent="0.3">
      <c r="A55" s="1">
        <v>1030</v>
      </c>
      <c r="B55" s="2" t="s">
        <v>283</v>
      </c>
      <c r="C55" s="2" t="s">
        <v>342</v>
      </c>
      <c r="D55" s="1">
        <v>15</v>
      </c>
      <c r="E55" s="1">
        <f>_xlfn.XLOOKUP(fact_estoque2[[#This Row],[sku]], dim_produtos_1[sku], dim_produtos_1[estoque_sistema])</f>
        <v>63</v>
      </c>
      <c r="F55" s="1" t="s">
        <v>42</v>
      </c>
      <c r="G55" s="3">
        <f>INT(fact_estoque2[[#This Row],[estoque_sistema]]/fact_estoque2[[#This Row],[quantidade_anuncio]])</f>
        <v>4</v>
      </c>
      <c r="H55" s="1" t="s">
        <v>45</v>
      </c>
    </row>
    <row r="56" spans="1:8" x14ac:dyDescent="0.3">
      <c r="A56" s="1">
        <v>1030</v>
      </c>
      <c r="B56" s="2" t="s">
        <v>284</v>
      </c>
      <c r="C56" s="2" t="s">
        <v>344</v>
      </c>
      <c r="D56" s="1">
        <v>20</v>
      </c>
      <c r="E56" s="1">
        <f>_xlfn.XLOOKUP(fact_estoque2[[#This Row],[sku]], dim_produtos_1[sku], dim_produtos_1[estoque_sistema])</f>
        <v>63</v>
      </c>
      <c r="F56" s="1" t="s">
        <v>42</v>
      </c>
      <c r="G56" s="3">
        <f>INT(fact_estoque2[[#This Row],[estoque_sistema]]/fact_estoque2[[#This Row],[quantidade_anuncio]])</f>
        <v>3</v>
      </c>
      <c r="H56" s="1" t="s">
        <v>45</v>
      </c>
    </row>
    <row r="57" spans="1:8" x14ac:dyDescent="0.3">
      <c r="A57" s="1">
        <v>1030</v>
      </c>
      <c r="B57" s="2" t="s">
        <v>285</v>
      </c>
      <c r="C57" s="2" t="s">
        <v>345</v>
      </c>
      <c r="D57" s="1">
        <v>5</v>
      </c>
      <c r="E57" s="1">
        <f>_xlfn.XLOOKUP(fact_estoque2[[#This Row],[sku]], dim_produtos_1[sku], dim_produtos_1[estoque_sistema])</f>
        <v>63</v>
      </c>
      <c r="F57" s="1" t="s">
        <v>42</v>
      </c>
      <c r="G57" s="3">
        <f>INT(fact_estoque2[[#This Row],[estoque_sistema]]/fact_estoque2[[#This Row],[quantidade_anuncio]])</f>
        <v>12</v>
      </c>
      <c r="H57" s="1" t="s">
        <v>45</v>
      </c>
    </row>
    <row r="58" spans="1:8" x14ac:dyDescent="0.3">
      <c r="A58" s="1">
        <v>1030</v>
      </c>
      <c r="B58" s="2" t="s">
        <v>286</v>
      </c>
      <c r="C58" s="2" t="s">
        <v>346</v>
      </c>
      <c r="D58" s="1">
        <v>25</v>
      </c>
      <c r="E58" s="1">
        <f>_xlfn.XLOOKUP(fact_estoque2[[#This Row],[sku]], dim_produtos_1[sku], dim_produtos_1[estoque_sistema])</f>
        <v>63</v>
      </c>
      <c r="F58" s="1" t="s">
        <v>42</v>
      </c>
      <c r="G58" s="3">
        <f>INT(fact_estoque2[[#This Row],[estoque_sistema]]/fact_estoque2[[#This Row],[quantidade_anuncio]])</f>
        <v>2</v>
      </c>
      <c r="H58" s="1" t="s">
        <v>45</v>
      </c>
    </row>
    <row r="59" spans="1:8" x14ac:dyDescent="0.3">
      <c r="A59" s="1">
        <v>1032</v>
      </c>
      <c r="B59" s="2" t="s">
        <v>207</v>
      </c>
      <c r="C59" s="2" t="s">
        <v>347</v>
      </c>
      <c r="D59" s="1">
        <v>10</v>
      </c>
      <c r="E59" s="1">
        <f>_xlfn.XLOOKUP(fact_estoque2[[#This Row],[sku]], dim_produtos_1[sku], dim_produtos_1[estoque_sistema])</f>
        <v>242</v>
      </c>
      <c r="F59" s="1" t="s">
        <v>42</v>
      </c>
      <c r="G59" s="3">
        <f>INT(fact_estoque2[[#This Row],[estoque_sistema]]/fact_estoque2[[#This Row],[quantidade_anuncio]])</f>
        <v>24</v>
      </c>
      <c r="H59" s="1" t="s">
        <v>45</v>
      </c>
    </row>
    <row r="60" spans="1:8" x14ac:dyDescent="0.3">
      <c r="A60" s="1">
        <v>1033</v>
      </c>
      <c r="B60" s="2" t="s">
        <v>301</v>
      </c>
      <c r="C60" s="2" t="s">
        <v>448</v>
      </c>
      <c r="D60" s="1">
        <v>1</v>
      </c>
      <c r="E60" s="1">
        <f>_xlfn.XLOOKUP(fact_estoque2[[#This Row],[sku]], dim_produtos_1[sku], dim_produtos_1[estoque_sistema])</f>
        <v>968</v>
      </c>
      <c r="F60" s="1" t="s">
        <v>42</v>
      </c>
      <c r="G60" s="3">
        <f>INT(fact_estoque2[[#This Row],[estoque_sistema]]/fact_estoque2[[#This Row],[quantidade_anuncio]])</f>
        <v>968</v>
      </c>
      <c r="H60" s="1" t="s">
        <v>45</v>
      </c>
    </row>
    <row r="61" spans="1:8" x14ac:dyDescent="0.3">
      <c r="A61" s="1">
        <v>1034</v>
      </c>
      <c r="B61" s="2" t="s">
        <v>237</v>
      </c>
      <c r="C61" s="2" t="s">
        <v>348</v>
      </c>
      <c r="D61" s="1">
        <v>5</v>
      </c>
      <c r="E61" s="1">
        <f>_xlfn.XLOOKUP(fact_estoque2[[#This Row],[sku]], dim_produtos_1[sku], dim_produtos_1[estoque_sistema])</f>
        <v>1</v>
      </c>
      <c r="F61" s="1" t="s">
        <v>43</v>
      </c>
      <c r="G61" s="3">
        <f>INT(fact_estoque2[[#This Row],[estoque_sistema]]/fact_estoque2[[#This Row],[quantidade_anuncio]])</f>
        <v>0</v>
      </c>
      <c r="H61" s="1" t="s">
        <v>45</v>
      </c>
    </row>
    <row r="62" spans="1:8" x14ac:dyDescent="0.3">
      <c r="A62" s="1">
        <v>1034</v>
      </c>
      <c r="B62" s="2" t="s">
        <v>238</v>
      </c>
      <c r="C62" s="2" t="s">
        <v>349</v>
      </c>
      <c r="D62" s="1">
        <v>10</v>
      </c>
      <c r="E62" s="1">
        <f>_xlfn.XLOOKUP(fact_estoque2[[#This Row],[sku]], dim_produtos_1[sku], dim_produtos_1[estoque_sistema])</f>
        <v>1</v>
      </c>
      <c r="F62" s="1" t="s">
        <v>43</v>
      </c>
      <c r="G62" s="3">
        <f>INT(fact_estoque2[[#This Row],[estoque_sistema]]/fact_estoque2[[#This Row],[quantidade_anuncio]])</f>
        <v>0</v>
      </c>
      <c r="H62" s="1" t="s">
        <v>45</v>
      </c>
    </row>
    <row r="63" spans="1:8" x14ac:dyDescent="0.3">
      <c r="A63" s="1">
        <v>1035</v>
      </c>
      <c r="B63" s="2" t="s">
        <v>289</v>
      </c>
      <c r="C63" s="2" t="s">
        <v>449</v>
      </c>
      <c r="D63" s="1">
        <v>1</v>
      </c>
      <c r="E63" s="1">
        <f>_xlfn.XLOOKUP(fact_estoque2[[#This Row],[sku]], dim_produtos_1[sku], dim_produtos_1[estoque_sistema])</f>
        <v>14</v>
      </c>
      <c r="F63" s="1" t="s">
        <v>42</v>
      </c>
      <c r="G63" s="3">
        <f>INT(fact_estoque2[[#This Row],[estoque_sistema]]/fact_estoque2[[#This Row],[quantidade_anuncio]])</f>
        <v>14</v>
      </c>
      <c r="H63" s="1" t="s">
        <v>42</v>
      </c>
    </row>
    <row r="64" spans="1:8" x14ac:dyDescent="0.3">
      <c r="A64" s="1">
        <v>1035</v>
      </c>
      <c r="B64" s="2" t="s">
        <v>290</v>
      </c>
      <c r="C64" s="2" t="s">
        <v>350</v>
      </c>
      <c r="D64" s="1">
        <v>2</v>
      </c>
      <c r="E64" s="1">
        <f>_xlfn.XLOOKUP(fact_estoque2[[#This Row],[sku]], dim_produtos_1[sku], dim_produtos_1[estoque_sistema])</f>
        <v>14</v>
      </c>
      <c r="F64" s="1" t="s">
        <v>42</v>
      </c>
      <c r="G64" s="3">
        <f>INT(fact_estoque2[[#This Row],[estoque_sistema]]/fact_estoque2[[#This Row],[quantidade_anuncio]])</f>
        <v>7</v>
      </c>
      <c r="H64" s="1" t="s">
        <v>45</v>
      </c>
    </row>
    <row r="65" spans="1:8" x14ac:dyDescent="0.3">
      <c r="A65" s="1">
        <v>1036</v>
      </c>
      <c r="B65" s="2" t="s">
        <v>175</v>
      </c>
      <c r="C65" s="2" t="s">
        <v>450</v>
      </c>
      <c r="D65" s="1">
        <v>1</v>
      </c>
      <c r="E65" s="1">
        <f>_xlfn.XLOOKUP(fact_estoque2[[#This Row],[sku]], dim_produtos_1[sku], dim_produtos_1[estoque_sistema])</f>
        <v>1</v>
      </c>
      <c r="F65" s="1" t="s">
        <v>42</v>
      </c>
      <c r="G65" s="3">
        <f>INT(fact_estoque2[[#This Row],[estoque_sistema]]/fact_estoque2[[#This Row],[quantidade_anuncio]])</f>
        <v>1</v>
      </c>
      <c r="H65" s="1" t="s">
        <v>42</v>
      </c>
    </row>
    <row r="66" spans="1:8" x14ac:dyDescent="0.3">
      <c r="A66" s="1">
        <v>1037</v>
      </c>
      <c r="B66" s="2" t="s">
        <v>203</v>
      </c>
      <c r="C66" s="2" t="s">
        <v>451</v>
      </c>
      <c r="D66" s="1">
        <v>1</v>
      </c>
      <c r="E66" s="1">
        <f>_xlfn.XLOOKUP(fact_estoque2[[#This Row],[sku]], dim_produtos_1[sku], dim_produtos_1[estoque_sistema])</f>
        <v>1</v>
      </c>
      <c r="F66" s="1" t="s">
        <v>42</v>
      </c>
      <c r="G66" s="3">
        <f>INT(fact_estoque2[[#This Row],[estoque_sistema]]/fact_estoque2[[#This Row],[quantidade_anuncio]])</f>
        <v>1</v>
      </c>
      <c r="H66" s="1" t="s">
        <v>42</v>
      </c>
    </row>
    <row r="67" spans="1:8" x14ac:dyDescent="0.3">
      <c r="A67" s="1">
        <v>1038</v>
      </c>
      <c r="B67" s="2" t="s">
        <v>185</v>
      </c>
      <c r="C67" s="2" t="s">
        <v>452</v>
      </c>
      <c r="D67" s="1">
        <v>1</v>
      </c>
      <c r="E67" s="1">
        <f>_xlfn.XLOOKUP(fact_estoque2[[#This Row],[sku]], dim_produtos_1[sku], dim_produtos_1[estoque_sistema])</f>
        <v>7</v>
      </c>
      <c r="F67" s="1" t="s">
        <v>42</v>
      </c>
      <c r="G67" s="3">
        <f>INT(fact_estoque2[[#This Row],[estoque_sistema]]/fact_estoque2[[#This Row],[quantidade_anuncio]])</f>
        <v>7</v>
      </c>
      <c r="H67" s="1" t="s">
        <v>42</v>
      </c>
    </row>
    <row r="68" spans="1:8" x14ac:dyDescent="0.3">
      <c r="A68" s="1">
        <v>1039</v>
      </c>
      <c r="B68" s="2" t="s">
        <v>206</v>
      </c>
      <c r="C68" s="2" t="s">
        <v>351</v>
      </c>
      <c r="D68" s="1">
        <v>10</v>
      </c>
      <c r="E68" s="1">
        <f>_xlfn.XLOOKUP(fact_estoque2[[#This Row],[sku]], dim_produtos_1[sku], dim_produtos_1[estoque_sistema])</f>
        <v>93</v>
      </c>
      <c r="F68" s="1" t="s">
        <v>42</v>
      </c>
      <c r="G68" s="3">
        <f>INT(fact_estoque2[[#This Row],[estoque_sistema]]/fact_estoque2[[#This Row],[quantidade_anuncio]])</f>
        <v>9</v>
      </c>
      <c r="H68" s="1" t="s">
        <v>45</v>
      </c>
    </row>
    <row r="69" spans="1:8" x14ac:dyDescent="0.3">
      <c r="A69" s="1">
        <v>1040</v>
      </c>
      <c r="B69" s="2" t="s">
        <v>180</v>
      </c>
      <c r="C69" s="2" t="s">
        <v>352</v>
      </c>
      <c r="D69" s="1">
        <v>15</v>
      </c>
      <c r="E69" s="1">
        <f>_xlfn.XLOOKUP(fact_estoque2[[#This Row],[sku]], dim_produtos_1[sku], dim_produtos_1[estoque_sistema])</f>
        <v>133</v>
      </c>
      <c r="F69" s="1" t="s">
        <v>42</v>
      </c>
      <c r="G69" s="3">
        <f>INT(fact_estoque2[[#This Row],[estoque_sistema]]/fact_estoque2[[#This Row],[quantidade_anuncio]])</f>
        <v>8</v>
      </c>
      <c r="H69" s="1" t="s">
        <v>45</v>
      </c>
    </row>
    <row r="70" spans="1:8" x14ac:dyDescent="0.3">
      <c r="A70" s="1">
        <v>1041</v>
      </c>
      <c r="B70" s="2" t="s">
        <v>258</v>
      </c>
      <c r="C70" s="2" t="s">
        <v>453</v>
      </c>
      <c r="D70" s="1">
        <v>1</v>
      </c>
      <c r="E70" s="1">
        <f>_xlfn.XLOOKUP(fact_estoque2[[#This Row],[sku]], dim_produtos_1[sku], dim_produtos_1[estoque_sistema])</f>
        <v>22</v>
      </c>
      <c r="F70" s="1" t="s">
        <v>42</v>
      </c>
      <c r="G70" s="3">
        <f>INT(fact_estoque2[[#This Row],[estoque_sistema]]/fact_estoque2[[#This Row],[quantidade_anuncio]])</f>
        <v>22</v>
      </c>
      <c r="H70" s="1" t="s">
        <v>42</v>
      </c>
    </row>
    <row r="71" spans="1:8" x14ac:dyDescent="0.3">
      <c r="A71" s="1">
        <v>1041</v>
      </c>
      <c r="B71" s="2" t="s">
        <v>259</v>
      </c>
      <c r="C71" s="2" t="s">
        <v>353</v>
      </c>
      <c r="D71" s="1">
        <v>2</v>
      </c>
      <c r="E71" s="1">
        <f>_xlfn.XLOOKUP(fact_estoque2[[#This Row],[sku]], dim_produtos_1[sku], dim_produtos_1[estoque_sistema])</f>
        <v>22</v>
      </c>
      <c r="F71" s="1" t="s">
        <v>42</v>
      </c>
      <c r="G71" s="3">
        <f>INT(fact_estoque2[[#This Row],[estoque_sistema]]/fact_estoque2[[#This Row],[quantidade_anuncio]])</f>
        <v>11</v>
      </c>
      <c r="H71" s="1" t="s">
        <v>45</v>
      </c>
    </row>
    <row r="72" spans="1:8" x14ac:dyDescent="0.3">
      <c r="A72" s="1">
        <v>1042</v>
      </c>
      <c r="B72" s="2" t="s">
        <v>233</v>
      </c>
      <c r="C72" s="2" t="s">
        <v>354</v>
      </c>
      <c r="D72" s="1">
        <v>5</v>
      </c>
      <c r="E72" s="1">
        <f>_xlfn.XLOOKUP(fact_estoque2[[#This Row],[sku]], dim_produtos_1[sku], dim_produtos_1[estoque_sistema])</f>
        <v>15</v>
      </c>
      <c r="F72" s="1" t="s">
        <v>42</v>
      </c>
      <c r="G72" s="3">
        <f>INT(fact_estoque2[[#This Row],[estoque_sistema]]/fact_estoque2[[#This Row],[quantidade_anuncio]])</f>
        <v>3</v>
      </c>
      <c r="H72" s="1" t="s">
        <v>45</v>
      </c>
    </row>
    <row r="73" spans="1:8" x14ac:dyDescent="0.3">
      <c r="A73" s="1">
        <v>1042</v>
      </c>
      <c r="B73" s="2" t="s">
        <v>234</v>
      </c>
      <c r="C73" s="2" t="s">
        <v>454</v>
      </c>
      <c r="D73" s="1">
        <v>1</v>
      </c>
      <c r="E73" s="1">
        <f>_xlfn.XLOOKUP(fact_estoque2[[#This Row],[sku]], dim_produtos_1[sku], dim_produtos_1[estoque_sistema])</f>
        <v>15</v>
      </c>
      <c r="F73" s="1" t="s">
        <v>42</v>
      </c>
      <c r="G73" s="3">
        <f>INT(fact_estoque2[[#This Row],[estoque_sistema]]/fact_estoque2[[#This Row],[quantidade_anuncio]])</f>
        <v>15</v>
      </c>
      <c r="H73" s="1" t="s">
        <v>42</v>
      </c>
    </row>
    <row r="74" spans="1:8" x14ac:dyDescent="0.3">
      <c r="A74" s="1">
        <v>1043</v>
      </c>
      <c r="B74" s="2" t="s">
        <v>250</v>
      </c>
      <c r="C74" s="2" t="s">
        <v>455</v>
      </c>
      <c r="D74" s="1">
        <v>1</v>
      </c>
      <c r="E74" s="1">
        <f>_xlfn.XLOOKUP(fact_estoque2[[#This Row],[sku]], dim_produtos_1[sku], dim_produtos_1[estoque_sistema])</f>
        <v>30</v>
      </c>
      <c r="F74" s="1" t="s">
        <v>42</v>
      </c>
      <c r="G74" s="3">
        <f>INT(fact_estoque2[[#This Row],[estoque_sistema]]/fact_estoque2[[#This Row],[quantidade_anuncio]])</f>
        <v>30</v>
      </c>
      <c r="H74" s="1" t="s">
        <v>42</v>
      </c>
    </row>
    <row r="75" spans="1:8" x14ac:dyDescent="0.3">
      <c r="A75" s="1">
        <v>1043</v>
      </c>
      <c r="B75" s="2" t="s">
        <v>251</v>
      </c>
      <c r="C75" s="2" t="s">
        <v>355</v>
      </c>
      <c r="D75" s="1">
        <v>2</v>
      </c>
      <c r="E75" s="1">
        <f>_xlfn.XLOOKUP(fact_estoque2[[#This Row],[sku]], dim_produtos_1[sku], dim_produtos_1[estoque_sistema])</f>
        <v>30</v>
      </c>
      <c r="F75" s="1" t="s">
        <v>42</v>
      </c>
      <c r="G75" s="3">
        <f>INT(fact_estoque2[[#This Row],[estoque_sistema]]/fact_estoque2[[#This Row],[quantidade_anuncio]])</f>
        <v>15</v>
      </c>
      <c r="H75" s="1" t="s">
        <v>45</v>
      </c>
    </row>
    <row r="76" spans="1:8" x14ac:dyDescent="0.3">
      <c r="A76" s="1">
        <v>1044</v>
      </c>
      <c r="B76" s="2" t="s">
        <v>163</v>
      </c>
      <c r="C76" s="2" t="s">
        <v>356</v>
      </c>
      <c r="D76" s="1">
        <v>10</v>
      </c>
      <c r="E76" s="1">
        <f>_xlfn.XLOOKUP(fact_estoque2[[#This Row],[sku]], dim_produtos_1[sku], dim_produtos_1[estoque_sistema])</f>
        <v>121</v>
      </c>
      <c r="F76" s="1" t="s">
        <v>42</v>
      </c>
      <c r="G76" s="3">
        <f>INT(fact_estoque2[[#This Row],[estoque_sistema]]/fact_estoque2[[#This Row],[quantidade_anuncio]])</f>
        <v>12</v>
      </c>
      <c r="H76" s="1" t="s">
        <v>45</v>
      </c>
    </row>
    <row r="77" spans="1:8" x14ac:dyDescent="0.3">
      <c r="A77" s="1">
        <v>1044</v>
      </c>
      <c r="B77" s="2" t="s">
        <v>164</v>
      </c>
      <c r="C77" s="2" t="s">
        <v>357</v>
      </c>
      <c r="D77" s="1">
        <v>15</v>
      </c>
      <c r="E77" s="1">
        <f>_xlfn.XLOOKUP(fact_estoque2[[#This Row],[sku]], dim_produtos_1[sku], dim_produtos_1[estoque_sistema])</f>
        <v>121</v>
      </c>
      <c r="F77" s="1" t="s">
        <v>42</v>
      </c>
      <c r="G77" s="3">
        <f>INT(fact_estoque2[[#This Row],[estoque_sistema]]/fact_estoque2[[#This Row],[quantidade_anuncio]])</f>
        <v>8</v>
      </c>
      <c r="H77" s="1" t="s">
        <v>45</v>
      </c>
    </row>
    <row r="78" spans="1:8" x14ac:dyDescent="0.3">
      <c r="A78" s="1">
        <v>1044</v>
      </c>
      <c r="B78" s="2" t="s">
        <v>165</v>
      </c>
      <c r="C78" s="2" t="s">
        <v>358</v>
      </c>
      <c r="D78" s="1">
        <v>20</v>
      </c>
      <c r="E78" s="1">
        <f>_xlfn.XLOOKUP(fact_estoque2[[#This Row],[sku]], dim_produtos_1[sku], dim_produtos_1[estoque_sistema])</f>
        <v>121</v>
      </c>
      <c r="F78" s="1" t="s">
        <v>42</v>
      </c>
      <c r="G78" s="3">
        <f>INT(fact_estoque2[[#This Row],[estoque_sistema]]/fact_estoque2[[#This Row],[quantidade_anuncio]])</f>
        <v>6</v>
      </c>
      <c r="H78" s="1" t="s">
        <v>45</v>
      </c>
    </row>
    <row r="79" spans="1:8" x14ac:dyDescent="0.3">
      <c r="A79" s="1">
        <v>1044</v>
      </c>
      <c r="B79" s="2" t="s">
        <v>166</v>
      </c>
      <c r="C79" s="2" t="s">
        <v>359</v>
      </c>
      <c r="D79" s="1">
        <v>25</v>
      </c>
      <c r="E79" s="1">
        <f>_xlfn.XLOOKUP(fact_estoque2[[#This Row],[sku]], dim_produtos_1[sku], dim_produtos_1[estoque_sistema])</f>
        <v>121</v>
      </c>
      <c r="F79" s="1" t="s">
        <v>42</v>
      </c>
      <c r="G79" s="3">
        <f>INT(fact_estoque2[[#This Row],[estoque_sistema]]/fact_estoque2[[#This Row],[quantidade_anuncio]])</f>
        <v>4</v>
      </c>
      <c r="H79" s="1" t="s">
        <v>45</v>
      </c>
    </row>
    <row r="80" spans="1:8" x14ac:dyDescent="0.3">
      <c r="A80" s="1">
        <v>1044</v>
      </c>
      <c r="B80" s="2" t="s">
        <v>167</v>
      </c>
      <c r="C80" s="2" t="s">
        <v>360</v>
      </c>
      <c r="D80" s="1">
        <v>5</v>
      </c>
      <c r="E80" s="1">
        <f>_xlfn.XLOOKUP(fact_estoque2[[#This Row],[sku]], dim_produtos_1[sku], dim_produtos_1[estoque_sistema])</f>
        <v>121</v>
      </c>
      <c r="F80" s="1" t="s">
        <v>42</v>
      </c>
      <c r="G80" s="3">
        <f>INT(fact_estoque2[[#This Row],[estoque_sistema]]/fact_estoque2[[#This Row],[quantidade_anuncio]])</f>
        <v>24</v>
      </c>
      <c r="H80" s="1" t="s">
        <v>45</v>
      </c>
    </row>
    <row r="81" spans="1:8" x14ac:dyDescent="0.3">
      <c r="A81" s="1">
        <v>1044</v>
      </c>
      <c r="B81" s="2" t="s">
        <v>168</v>
      </c>
      <c r="C81" s="2" t="s">
        <v>456</v>
      </c>
      <c r="D81" s="1">
        <v>1</v>
      </c>
      <c r="E81" s="1">
        <f>_xlfn.XLOOKUP(fact_estoque2[[#This Row],[sku]], dim_produtos_1[sku], dim_produtos_1[estoque_sistema])</f>
        <v>121</v>
      </c>
      <c r="F81" s="1" t="s">
        <v>42</v>
      </c>
      <c r="G81" s="3">
        <f>INT(fact_estoque2[[#This Row],[estoque_sistema]]/fact_estoque2[[#This Row],[quantidade_anuncio]])</f>
        <v>121</v>
      </c>
      <c r="H81" s="1" t="s">
        <v>42</v>
      </c>
    </row>
    <row r="82" spans="1:8" x14ac:dyDescent="0.3">
      <c r="A82" s="1">
        <v>1046</v>
      </c>
      <c r="B82" s="2" t="s">
        <v>302</v>
      </c>
      <c r="C82" s="2" t="s">
        <v>457</v>
      </c>
      <c r="D82" s="1">
        <v>1</v>
      </c>
      <c r="E82" s="1">
        <f>_xlfn.XLOOKUP(fact_estoque2[[#This Row],[sku]], dim_produtos_1[sku], dim_produtos_1[estoque_sistema])</f>
        <v>8874</v>
      </c>
      <c r="F82" s="1" t="s">
        <v>42</v>
      </c>
      <c r="G82" s="3">
        <f>INT(fact_estoque2[[#This Row],[estoque_sistema]]/fact_estoque2[[#This Row],[quantidade_anuncio]])</f>
        <v>8874</v>
      </c>
      <c r="H82" s="1" t="s">
        <v>42</v>
      </c>
    </row>
    <row r="83" spans="1:8" x14ac:dyDescent="0.3">
      <c r="A83" s="1">
        <v>1047</v>
      </c>
      <c r="B83" s="2" t="s">
        <v>209</v>
      </c>
      <c r="C83" s="2" t="s">
        <v>361</v>
      </c>
      <c r="D83" s="1">
        <v>5</v>
      </c>
      <c r="E83" s="1">
        <f>_xlfn.XLOOKUP(fact_estoque2[[#This Row],[sku]], dim_produtos_1[sku], dim_produtos_1[estoque_sistema])</f>
        <v>1418</v>
      </c>
      <c r="F83" s="1" t="s">
        <v>42</v>
      </c>
      <c r="G83" s="3">
        <f>INT(fact_estoque2[[#This Row],[estoque_sistema]]/fact_estoque2[[#This Row],[quantidade_anuncio]])</f>
        <v>283</v>
      </c>
      <c r="H83" s="1" t="s">
        <v>45</v>
      </c>
    </row>
    <row r="84" spans="1:8" x14ac:dyDescent="0.3">
      <c r="A84" s="1">
        <v>1047</v>
      </c>
      <c r="B84" s="2" t="s">
        <v>210</v>
      </c>
      <c r="C84" s="2" t="s">
        <v>362</v>
      </c>
      <c r="D84" s="1">
        <v>10</v>
      </c>
      <c r="E84" s="1">
        <f>_xlfn.XLOOKUP(fact_estoque2[[#This Row],[sku]], dim_produtos_1[sku], dim_produtos_1[estoque_sistema])</f>
        <v>1418</v>
      </c>
      <c r="F84" s="1" t="s">
        <v>42</v>
      </c>
      <c r="G84" s="3">
        <f>INT(fact_estoque2[[#This Row],[estoque_sistema]]/fact_estoque2[[#This Row],[quantidade_anuncio]])</f>
        <v>141</v>
      </c>
      <c r="H84" s="1" t="s">
        <v>45</v>
      </c>
    </row>
    <row r="85" spans="1:8" x14ac:dyDescent="0.3">
      <c r="A85" s="1">
        <v>1047</v>
      </c>
      <c r="B85" s="2" t="s">
        <v>211</v>
      </c>
      <c r="C85" s="2" t="s">
        <v>363</v>
      </c>
      <c r="D85" s="1">
        <v>20</v>
      </c>
      <c r="E85" s="1">
        <f>_xlfn.XLOOKUP(fact_estoque2[[#This Row],[sku]], dim_produtos_1[sku], dim_produtos_1[estoque_sistema])</f>
        <v>1418</v>
      </c>
      <c r="F85" s="1" t="s">
        <v>42</v>
      </c>
      <c r="G85" s="3">
        <f>INT(fact_estoque2[[#This Row],[estoque_sistema]]/fact_estoque2[[#This Row],[quantidade_anuncio]])</f>
        <v>70</v>
      </c>
      <c r="H85" s="1" t="s">
        <v>45</v>
      </c>
    </row>
    <row r="86" spans="1:8" x14ac:dyDescent="0.3">
      <c r="A86" s="1">
        <v>1047</v>
      </c>
      <c r="B86" s="2" t="s">
        <v>212</v>
      </c>
      <c r="C86" s="2" t="s">
        <v>364</v>
      </c>
      <c r="D86" s="1">
        <v>100</v>
      </c>
      <c r="E86" s="1">
        <f>_xlfn.XLOOKUP(fact_estoque2[[#This Row],[sku]], dim_produtos_1[sku], dim_produtos_1[estoque_sistema])</f>
        <v>1418</v>
      </c>
      <c r="F86" s="1" t="s">
        <v>42</v>
      </c>
      <c r="G86" s="3">
        <f>INT(fact_estoque2[[#This Row],[estoque_sistema]]/fact_estoque2[[#This Row],[quantidade_anuncio]])</f>
        <v>14</v>
      </c>
      <c r="H86" s="1" t="s">
        <v>45</v>
      </c>
    </row>
    <row r="87" spans="1:8" x14ac:dyDescent="0.3">
      <c r="A87" s="1">
        <v>1047</v>
      </c>
      <c r="B87" s="2" t="s">
        <v>213</v>
      </c>
      <c r="C87" s="2" t="s">
        <v>365</v>
      </c>
      <c r="D87" s="1">
        <v>25</v>
      </c>
      <c r="E87" s="1">
        <f>_xlfn.XLOOKUP(fact_estoque2[[#This Row],[sku]], dim_produtos_1[sku], dim_produtos_1[estoque_sistema])</f>
        <v>1418</v>
      </c>
      <c r="F87" s="1" t="s">
        <v>42</v>
      </c>
      <c r="G87" s="3">
        <f>INT(fact_estoque2[[#This Row],[estoque_sistema]]/fact_estoque2[[#This Row],[quantidade_anuncio]])</f>
        <v>56</v>
      </c>
      <c r="H87" s="1" t="s">
        <v>45</v>
      </c>
    </row>
    <row r="88" spans="1:8" x14ac:dyDescent="0.3">
      <c r="A88" s="1">
        <v>1047</v>
      </c>
      <c r="B88" s="2" t="s">
        <v>214</v>
      </c>
      <c r="C88" s="2" t="s">
        <v>366</v>
      </c>
      <c r="D88" s="1">
        <v>15</v>
      </c>
      <c r="E88" s="1">
        <f>_xlfn.XLOOKUP(fact_estoque2[[#This Row],[sku]], dim_produtos_1[sku], dim_produtos_1[estoque_sistema])</f>
        <v>1418</v>
      </c>
      <c r="F88" s="1" t="s">
        <v>42</v>
      </c>
      <c r="G88" s="3">
        <f>INT(fact_estoque2[[#This Row],[estoque_sistema]]/fact_estoque2[[#This Row],[quantidade_anuncio]])</f>
        <v>94</v>
      </c>
      <c r="H88" s="1" t="s">
        <v>45</v>
      </c>
    </row>
    <row r="89" spans="1:8" x14ac:dyDescent="0.3">
      <c r="A89" s="1">
        <v>1047</v>
      </c>
      <c r="B89" s="2" t="s">
        <v>215</v>
      </c>
      <c r="C89" s="2" t="s">
        <v>367</v>
      </c>
      <c r="D89" s="1">
        <v>500</v>
      </c>
      <c r="E89" s="1">
        <f>_xlfn.XLOOKUP(fact_estoque2[[#This Row],[sku]], dim_produtos_1[sku], dim_produtos_1[estoque_sistema])</f>
        <v>1418</v>
      </c>
      <c r="F89" s="1" t="s">
        <v>42</v>
      </c>
      <c r="G89" s="3">
        <f>INT(fact_estoque2[[#This Row],[estoque_sistema]]/fact_estoque2[[#This Row],[quantidade_anuncio]])</f>
        <v>2</v>
      </c>
      <c r="H89" s="1" t="s">
        <v>45</v>
      </c>
    </row>
    <row r="90" spans="1:8" x14ac:dyDescent="0.3">
      <c r="A90" s="1">
        <v>1047</v>
      </c>
      <c r="B90" s="2" t="s">
        <v>216</v>
      </c>
      <c r="C90" s="2" t="s">
        <v>368</v>
      </c>
      <c r="D90" s="1">
        <v>200</v>
      </c>
      <c r="E90" s="1">
        <f>_xlfn.XLOOKUP(fact_estoque2[[#This Row],[sku]], dim_produtos_1[sku], dim_produtos_1[estoque_sistema])</f>
        <v>1418</v>
      </c>
      <c r="F90" s="1" t="s">
        <v>42</v>
      </c>
      <c r="G90" s="3">
        <f>INT(fact_estoque2[[#This Row],[estoque_sistema]]/fact_estoque2[[#This Row],[quantidade_anuncio]])</f>
        <v>7</v>
      </c>
      <c r="H90" s="1" t="s">
        <v>45</v>
      </c>
    </row>
    <row r="91" spans="1:8" x14ac:dyDescent="0.3">
      <c r="A91" s="1">
        <v>1047</v>
      </c>
      <c r="B91" s="2" t="s">
        <v>217</v>
      </c>
      <c r="C91" s="2" t="s">
        <v>369</v>
      </c>
      <c r="D91" s="1">
        <v>150</v>
      </c>
      <c r="E91" s="1">
        <f>_xlfn.XLOOKUP(fact_estoque2[[#This Row],[sku]], dim_produtos_1[sku], dim_produtos_1[estoque_sistema])</f>
        <v>1418</v>
      </c>
      <c r="F91" s="1" t="s">
        <v>42</v>
      </c>
      <c r="G91" s="3">
        <f>INT(fact_estoque2[[#This Row],[estoque_sistema]]/fact_estoque2[[#This Row],[quantidade_anuncio]])</f>
        <v>9</v>
      </c>
      <c r="H91" s="1" t="s">
        <v>45</v>
      </c>
    </row>
    <row r="92" spans="1:8" x14ac:dyDescent="0.3">
      <c r="A92" s="1">
        <v>1047</v>
      </c>
      <c r="B92" s="2" t="s">
        <v>218</v>
      </c>
      <c r="C92" s="2" t="s">
        <v>370</v>
      </c>
      <c r="D92" s="1">
        <v>50</v>
      </c>
      <c r="E92" s="1">
        <f>_xlfn.XLOOKUP(fact_estoque2[[#This Row],[sku]], dim_produtos_1[sku], dim_produtos_1[estoque_sistema])</f>
        <v>1418</v>
      </c>
      <c r="F92" s="1" t="s">
        <v>42</v>
      </c>
      <c r="G92" s="3">
        <f>INT(fact_estoque2[[#This Row],[estoque_sistema]]/fact_estoque2[[#This Row],[quantidade_anuncio]])</f>
        <v>28</v>
      </c>
      <c r="H92" s="1" t="s">
        <v>45</v>
      </c>
    </row>
    <row r="93" spans="1:8" x14ac:dyDescent="0.3">
      <c r="A93" s="1">
        <v>1047</v>
      </c>
      <c r="B93" s="2" t="s">
        <v>219</v>
      </c>
      <c r="C93" s="2" t="s">
        <v>371</v>
      </c>
      <c r="D93" s="1">
        <v>400</v>
      </c>
      <c r="E93" s="1">
        <f>_xlfn.XLOOKUP(fact_estoque2[[#This Row],[sku]], dim_produtos_1[sku], dim_produtos_1[estoque_sistema])</f>
        <v>1418</v>
      </c>
      <c r="F93" s="1" t="s">
        <v>42</v>
      </c>
      <c r="G93" s="3">
        <f>INT(fact_estoque2[[#This Row],[estoque_sistema]]/fact_estoque2[[#This Row],[quantidade_anuncio]])</f>
        <v>3</v>
      </c>
      <c r="H93" s="1" t="s">
        <v>45</v>
      </c>
    </row>
    <row r="94" spans="1:8" x14ac:dyDescent="0.3">
      <c r="A94" s="1">
        <v>1048</v>
      </c>
      <c r="B94" s="2" t="s">
        <v>149</v>
      </c>
      <c r="C94" s="2" t="s">
        <v>372</v>
      </c>
      <c r="D94" s="1">
        <v>25</v>
      </c>
      <c r="E94" s="1">
        <f>_xlfn.XLOOKUP(fact_estoque2[[#This Row],[sku]], dim_produtos_1[sku], dim_produtos_1[estoque_sistema])</f>
        <v>872</v>
      </c>
      <c r="F94" s="1" t="s">
        <v>42</v>
      </c>
      <c r="G94" s="3">
        <f>INT(fact_estoque2[[#This Row],[estoque_sistema]]/fact_estoque2[[#This Row],[quantidade_anuncio]])</f>
        <v>34</v>
      </c>
      <c r="H94" s="1" t="s">
        <v>45</v>
      </c>
    </row>
    <row r="95" spans="1:8" x14ac:dyDescent="0.3">
      <c r="A95" s="1">
        <v>1048</v>
      </c>
      <c r="B95" s="2" t="s">
        <v>150</v>
      </c>
      <c r="C95" s="2" t="s">
        <v>373</v>
      </c>
      <c r="D95" s="1">
        <v>100</v>
      </c>
      <c r="E95" s="1">
        <f>_xlfn.XLOOKUP(fact_estoque2[[#This Row],[sku]], dim_produtos_1[sku], dim_produtos_1[estoque_sistema])</f>
        <v>872</v>
      </c>
      <c r="F95" s="1" t="s">
        <v>42</v>
      </c>
      <c r="G95" s="3">
        <f>INT(fact_estoque2[[#This Row],[estoque_sistema]]/fact_estoque2[[#This Row],[quantidade_anuncio]])</f>
        <v>8</v>
      </c>
      <c r="H95" s="1" t="s">
        <v>45</v>
      </c>
    </row>
    <row r="96" spans="1:8" x14ac:dyDescent="0.3">
      <c r="A96" s="1">
        <v>1048</v>
      </c>
      <c r="B96" s="2" t="s">
        <v>151</v>
      </c>
      <c r="C96" s="2" t="s">
        <v>374</v>
      </c>
      <c r="D96" s="1">
        <v>15</v>
      </c>
      <c r="E96" s="1">
        <f>_xlfn.XLOOKUP(fact_estoque2[[#This Row],[sku]], dim_produtos_1[sku], dim_produtos_1[estoque_sistema])</f>
        <v>872</v>
      </c>
      <c r="F96" s="1" t="s">
        <v>42</v>
      </c>
      <c r="G96" s="3">
        <f>INT(fact_estoque2[[#This Row],[estoque_sistema]]/fact_estoque2[[#This Row],[quantidade_anuncio]])</f>
        <v>58</v>
      </c>
      <c r="H96" s="1" t="s">
        <v>45</v>
      </c>
    </row>
    <row r="97" spans="1:8" x14ac:dyDescent="0.3">
      <c r="A97" s="1">
        <v>1048</v>
      </c>
      <c r="B97" s="2" t="s">
        <v>152</v>
      </c>
      <c r="C97" s="2" t="s">
        <v>375</v>
      </c>
      <c r="D97" s="1">
        <v>10</v>
      </c>
      <c r="E97" s="1">
        <f>_xlfn.XLOOKUP(fact_estoque2[[#This Row],[sku]], dim_produtos_1[sku], dim_produtos_1[estoque_sistema])</f>
        <v>872</v>
      </c>
      <c r="F97" s="1" t="s">
        <v>42</v>
      </c>
      <c r="G97" s="3">
        <f>INT(fact_estoque2[[#This Row],[estoque_sistema]]/fact_estoque2[[#This Row],[quantidade_anuncio]])</f>
        <v>87</v>
      </c>
      <c r="H97" s="1" t="s">
        <v>45</v>
      </c>
    </row>
    <row r="98" spans="1:8" x14ac:dyDescent="0.3">
      <c r="A98" s="1">
        <v>1048</v>
      </c>
      <c r="B98" s="2" t="s">
        <v>153</v>
      </c>
      <c r="C98" s="2" t="s">
        <v>376</v>
      </c>
      <c r="D98" s="1">
        <v>20</v>
      </c>
      <c r="E98" s="1">
        <f>_xlfn.XLOOKUP(fact_estoque2[[#This Row],[sku]], dim_produtos_1[sku], dim_produtos_1[estoque_sistema])</f>
        <v>872</v>
      </c>
      <c r="F98" s="1" t="s">
        <v>42</v>
      </c>
      <c r="G98" s="3">
        <f>INT(fact_estoque2[[#This Row],[estoque_sistema]]/fact_estoque2[[#This Row],[quantidade_anuncio]])</f>
        <v>43</v>
      </c>
      <c r="H98" s="1" t="s">
        <v>45</v>
      </c>
    </row>
    <row r="99" spans="1:8" x14ac:dyDescent="0.3">
      <c r="A99" s="1">
        <v>1049</v>
      </c>
      <c r="B99" s="2" t="s">
        <v>176</v>
      </c>
      <c r="C99" s="2" t="s">
        <v>377</v>
      </c>
      <c r="D99" s="1">
        <v>10</v>
      </c>
      <c r="E99" s="1">
        <f>_xlfn.XLOOKUP(fact_estoque2[[#This Row],[sku]], dim_produtos_1[sku], dim_produtos_1[estoque_sistema])</f>
        <v>1</v>
      </c>
      <c r="F99" s="1" t="s">
        <v>42</v>
      </c>
      <c r="G99" s="3">
        <f>INT(fact_estoque2[[#This Row],[estoque_sistema]]/fact_estoque2[[#This Row],[quantidade_anuncio]])</f>
        <v>0</v>
      </c>
      <c r="H99" s="1" t="s">
        <v>45</v>
      </c>
    </row>
    <row r="100" spans="1:8" x14ac:dyDescent="0.3">
      <c r="A100" s="1">
        <v>1049</v>
      </c>
      <c r="B100" s="2" t="s">
        <v>177</v>
      </c>
      <c r="C100" s="2" t="s">
        <v>378</v>
      </c>
      <c r="D100" s="1">
        <v>15</v>
      </c>
      <c r="E100" s="1">
        <f>_xlfn.XLOOKUP(fact_estoque2[[#This Row],[sku]], dim_produtos_1[sku], dim_produtos_1[estoque_sistema])</f>
        <v>1</v>
      </c>
      <c r="F100" s="1" t="s">
        <v>42</v>
      </c>
      <c r="G100" s="3">
        <f>INT(fact_estoque2[[#This Row],[estoque_sistema]]/fact_estoque2[[#This Row],[quantidade_anuncio]])</f>
        <v>0</v>
      </c>
      <c r="H100" s="1" t="s">
        <v>45</v>
      </c>
    </row>
    <row r="101" spans="1:8" x14ac:dyDescent="0.3">
      <c r="A101" s="1">
        <v>1049</v>
      </c>
      <c r="B101" s="2" t="s">
        <v>178</v>
      </c>
      <c r="C101" s="2" t="s">
        <v>379</v>
      </c>
      <c r="D101" s="1">
        <v>20</v>
      </c>
      <c r="E101" s="1">
        <f>_xlfn.XLOOKUP(fact_estoque2[[#This Row],[sku]], dim_produtos_1[sku], dim_produtos_1[estoque_sistema])</f>
        <v>1</v>
      </c>
      <c r="F101" s="1" t="s">
        <v>42</v>
      </c>
      <c r="G101" s="3">
        <f>INT(fact_estoque2[[#This Row],[estoque_sistema]]/fact_estoque2[[#This Row],[quantidade_anuncio]])</f>
        <v>0</v>
      </c>
      <c r="H101" s="1" t="s">
        <v>45</v>
      </c>
    </row>
    <row r="102" spans="1:8" x14ac:dyDescent="0.3">
      <c r="A102" s="1">
        <v>1050</v>
      </c>
      <c r="B102" s="2" t="s">
        <v>205</v>
      </c>
      <c r="C102" s="2" t="s">
        <v>458</v>
      </c>
      <c r="D102" s="1">
        <v>1</v>
      </c>
      <c r="E102" s="1">
        <f>_xlfn.XLOOKUP(fact_estoque2[[#This Row],[sku]], dim_produtos_1[sku], dim_produtos_1[estoque_sistema])</f>
        <v>4</v>
      </c>
      <c r="F102" s="1" t="s">
        <v>42</v>
      </c>
      <c r="G102" s="3">
        <f>INT(fact_estoque2[[#This Row],[estoque_sistema]]/fact_estoque2[[#This Row],[quantidade_anuncio]])</f>
        <v>4</v>
      </c>
      <c r="H102" s="1" t="s">
        <v>42</v>
      </c>
    </row>
    <row r="103" spans="1:8" x14ac:dyDescent="0.3">
      <c r="A103" s="1">
        <v>1051</v>
      </c>
      <c r="B103" s="2" t="s">
        <v>226</v>
      </c>
      <c r="C103" s="2" t="s">
        <v>459</v>
      </c>
      <c r="D103" s="1">
        <v>1</v>
      </c>
      <c r="E103" s="1">
        <f>_xlfn.XLOOKUP(fact_estoque2[[#This Row],[sku]], dim_produtos_1[sku], dim_produtos_1[estoque_sistema])</f>
        <v>7</v>
      </c>
      <c r="F103" s="1" t="s">
        <v>42</v>
      </c>
      <c r="G103" s="3">
        <f>INT(fact_estoque2[[#This Row],[estoque_sistema]]/fact_estoque2[[#This Row],[quantidade_anuncio]])</f>
        <v>7</v>
      </c>
      <c r="H103" s="1" t="s">
        <v>42</v>
      </c>
    </row>
    <row r="104" spans="1:8" x14ac:dyDescent="0.3">
      <c r="A104" s="1">
        <v>1051</v>
      </c>
      <c r="B104" s="2" t="s">
        <v>227</v>
      </c>
      <c r="C104" s="2" t="s">
        <v>380</v>
      </c>
      <c r="D104" s="1">
        <v>5</v>
      </c>
      <c r="E104" s="1">
        <f>_xlfn.XLOOKUP(fact_estoque2[[#This Row],[sku]], dim_produtos_1[sku], dim_produtos_1[estoque_sistema])</f>
        <v>7</v>
      </c>
      <c r="F104" s="1" t="s">
        <v>42</v>
      </c>
      <c r="G104" s="3">
        <f>INT(fact_estoque2[[#This Row],[estoque_sistema]]/fact_estoque2[[#This Row],[quantidade_anuncio]])</f>
        <v>1</v>
      </c>
      <c r="H104" s="1" t="s">
        <v>45</v>
      </c>
    </row>
    <row r="105" spans="1:8" x14ac:dyDescent="0.3">
      <c r="A105" s="1">
        <v>1052</v>
      </c>
      <c r="B105" s="2" t="s">
        <v>184</v>
      </c>
      <c r="C105" s="2" t="s">
        <v>460</v>
      </c>
      <c r="D105" s="1">
        <v>1</v>
      </c>
      <c r="E105" s="1">
        <f>_xlfn.XLOOKUP(fact_estoque2[[#This Row],[sku]], dim_produtos_1[sku], dim_produtos_1[estoque_sistema])</f>
        <v>15</v>
      </c>
      <c r="F105" s="1" t="s">
        <v>42</v>
      </c>
      <c r="G105" s="3">
        <f>INT(fact_estoque2[[#This Row],[estoque_sistema]]/fact_estoque2[[#This Row],[quantidade_anuncio]])</f>
        <v>15</v>
      </c>
      <c r="H105" s="1" t="s">
        <v>42</v>
      </c>
    </row>
    <row r="106" spans="1:8" x14ac:dyDescent="0.3">
      <c r="A106" s="1">
        <v>1053</v>
      </c>
      <c r="B106" s="2" t="s">
        <v>235</v>
      </c>
      <c r="C106" s="2" t="s">
        <v>381</v>
      </c>
      <c r="D106" s="1">
        <v>2</v>
      </c>
      <c r="E106" s="1">
        <f>_xlfn.XLOOKUP(fact_estoque2[[#This Row],[sku]], dim_produtos_1[sku], dim_produtos_1[estoque_sistema])</f>
        <v>268</v>
      </c>
      <c r="F106" s="1" t="s">
        <v>43</v>
      </c>
      <c r="G106" s="3">
        <f>INT(fact_estoque2[[#This Row],[estoque_sistema]]/fact_estoque2[[#This Row],[quantidade_anuncio]])</f>
        <v>134</v>
      </c>
      <c r="H106" s="1" t="s">
        <v>45</v>
      </c>
    </row>
    <row r="107" spans="1:8" x14ac:dyDescent="0.3">
      <c r="A107" s="1">
        <v>1054</v>
      </c>
      <c r="B107" s="2" t="s">
        <v>186</v>
      </c>
      <c r="C107" s="2" t="s">
        <v>310</v>
      </c>
      <c r="D107" s="1">
        <v>1</v>
      </c>
      <c r="E107" s="1">
        <f>_xlfn.XLOOKUP(fact_estoque2[[#This Row],[sku]], dim_produtos_1[sku], dim_produtos_1[estoque_sistema])</f>
        <v>23</v>
      </c>
      <c r="F107" s="1" t="s">
        <v>42</v>
      </c>
      <c r="G107" s="3">
        <f>INT(fact_estoque2[[#This Row],[estoque_sistema]]/fact_estoque2[[#This Row],[quantidade_anuncio]])</f>
        <v>23</v>
      </c>
      <c r="H107" s="1" t="s">
        <v>42</v>
      </c>
    </row>
    <row r="108" spans="1:8" x14ac:dyDescent="0.3">
      <c r="A108" s="1">
        <v>1055</v>
      </c>
      <c r="B108" s="2" t="s">
        <v>159</v>
      </c>
      <c r="C108" s="2" t="s">
        <v>382</v>
      </c>
      <c r="D108" s="1">
        <v>25</v>
      </c>
      <c r="E108" s="1">
        <f>_xlfn.XLOOKUP(fact_estoque2[[#This Row],[sku]], dim_produtos_1[sku], dim_produtos_1[estoque_sistema])</f>
        <v>100</v>
      </c>
      <c r="F108" s="1" t="s">
        <v>42</v>
      </c>
      <c r="G108" s="3">
        <f>INT(fact_estoque2[[#This Row],[estoque_sistema]]/fact_estoque2[[#This Row],[quantidade_anuncio]])</f>
        <v>4</v>
      </c>
      <c r="H108" s="1" t="s">
        <v>45</v>
      </c>
    </row>
    <row r="109" spans="1:8" x14ac:dyDescent="0.3">
      <c r="A109" s="1">
        <v>1055</v>
      </c>
      <c r="B109" s="2" t="s">
        <v>160</v>
      </c>
      <c r="C109" s="2" t="s">
        <v>383</v>
      </c>
      <c r="D109" s="1">
        <v>10</v>
      </c>
      <c r="E109" s="1">
        <f>_xlfn.XLOOKUP(fact_estoque2[[#This Row],[sku]], dim_produtos_1[sku], dim_produtos_1[estoque_sistema])</f>
        <v>100</v>
      </c>
      <c r="F109" s="1" t="s">
        <v>42</v>
      </c>
      <c r="G109" s="3">
        <f>INT(fact_estoque2[[#This Row],[estoque_sistema]]/fact_estoque2[[#This Row],[quantidade_anuncio]])</f>
        <v>10</v>
      </c>
      <c r="H109" s="1" t="s">
        <v>45</v>
      </c>
    </row>
    <row r="110" spans="1:8" x14ac:dyDescent="0.3">
      <c r="A110" s="1">
        <v>1056</v>
      </c>
      <c r="B110" s="2" t="s">
        <v>161</v>
      </c>
      <c r="C110" s="2" t="s">
        <v>384</v>
      </c>
      <c r="D110" s="1">
        <v>10</v>
      </c>
      <c r="E110" s="1">
        <f>_xlfn.XLOOKUP(fact_estoque2[[#This Row],[sku]], dim_produtos_1[sku], dim_produtos_1[estoque_sistema])</f>
        <v>201</v>
      </c>
      <c r="F110" s="1" t="s">
        <v>42</v>
      </c>
      <c r="G110" s="3">
        <f>INT(fact_estoque2[[#This Row],[estoque_sistema]]/fact_estoque2[[#This Row],[quantidade_anuncio]])</f>
        <v>20</v>
      </c>
      <c r="H110" s="1" t="s">
        <v>45</v>
      </c>
    </row>
    <row r="111" spans="1:8" x14ac:dyDescent="0.3">
      <c r="A111" s="1">
        <v>1056</v>
      </c>
      <c r="B111" s="2" t="s">
        <v>162</v>
      </c>
      <c r="C111" s="2" t="s">
        <v>385</v>
      </c>
      <c r="D111" s="1">
        <v>25</v>
      </c>
      <c r="E111" s="1">
        <f>_xlfn.XLOOKUP(fact_estoque2[[#This Row],[sku]], dim_produtos_1[sku], dim_produtos_1[estoque_sistema])</f>
        <v>201</v>
      </c>
      <c r="F111" s="1" t="s">
        <v>42</v>
      </c>
      <c r="G111" s="3">
        <f>INT(fact_estoque2[[#This Row],[estoque_sistema]]/fact_estoque2[[#This Row],[quantidade_anuncio]])</f>
        <v>8</v>
      </c>
      <c r="H111" s="1" t="s">
        <v>45</v>
      </c>
    </row>
    <row r="112" spans="1:8" x14ac:dyDescent="0.3">
      <c r="A112" s="1">
        <v>1057</v>
      </c>
      <c r="B112" s="2" t="s">
        <v>248</v>
      </c>
      <c r="C112" s="2" t="s">
        <v>461</v>
      </c>
      <c r="D112" s="1">
        <v>1</v>
      </c>
      <c r="E112" s="1">
        <f>_xlfn.XLOOKUP(fact_estoque2[[#This Row],[sku]], dim_produtos_1[sku], dim_produtos_1[estoque_sistema])</f>
        <v>80</v>
      </c>
      <c r="F112" s="1" t="s">
        <v>42</v>
      </c>
      <c r="G112" s="3">
        <f>INT(fact_estoque2[[#This Row],[estoque_sistema]]/fact_estoque2[[#This Row],[quantidade_anuncio]])</f>
        <v>80</v>
      </c>
      <c r="H112" s="1" t="s">
        <v>42</v>
      </c>
    </row>
    <row r="113" spans="1:8" x14ac:dyDescent="0.3">
      <c r="A113" s="1">
        <v>1057</v>
      </c>
      <c r="B113" s="2" t="s">
        <v>249</v>
      </c>
      <c r="C113" s="2" t="s">
        <v>386</v>
      </c>
      <c r="D113" s="1">
        <v>2</v>
      </c>
      <c r="E113" s="1">
        <f>_xlfn.XLOOKUP(fact_estoque2[[#This Row],[sku]], dim_produtos_1[sku], dim_produtos_1[estoque_sistema])</f>
        <v>80</v>
      </c>
      <c r="F113" s="1" t="s">
        <v>42</v>
      </c>
      <c r="G113" s="3">
        <f>INT(fact_estoque2[[#This Row],[estoque_sistema]]/fact_estoque2[[#This Row],[quantidade_anuncio]])</f>
        <v>40</v>
      </c>
      <c r="H113" s="1" t="s">
        <v>45</v>
      </c>
    </row>
    <row r="114" spans="1:8" x14ac:dyDescent="0.3">
      <c r="A114" s="1">
        <v>1058</v>
      </c>
      <c r="B114" s="2" t="s">
        <v>221</v>
      </c>
      <c r="C114" s="2" t="s">
        <v>462</v>
      </c>
      <c r="D114" s="1">
        <v>1</v>
      </c>
      <c r="E114" s="1">
        <f>_xlfn.XLOOKUP(fact_estoque2[[#This Row],[sku]], dim_produtos_1[sku], dim_produtos_1[estoque_sistema])</f>
        <v>8</v>
      </c>
      <c r="F114" s="1" t="s">
        <v>42</v>
      </c>
      <c r="G114" s="3">
        <f>INT(fact_estoque2[[#This Row],[estoque_sistema]]/fact_estoque2[[#This Row],[quantidade_anuncio]])</f>
        <v>8</v>
      </c>
      <c r="H114" s="1" t="s">
        <v>42</v>
      </c>
    </row>
    <row r="115" spans="1:8" x14ac:dyDescent="0.3">
      <c r="A115" s="1">
        <v>1059</v>
      </c>
      <c r="B115" s="2" t="s">
        <v>295</v>
      </c>
      <c r="C115" s="2" t="s">
        <v>463</v>
      </c>
      <c r="D115" s="1">
        <v>1</v>
      </c>
      <c r="E115" s="1">
        <f>_xlfn.XLOOKUP(fact_estoque2[[#This Row],[sku]], dim_produtos_1[sku], dim_produtos_1[estoque_sistema])</f>
        <v>11</v>
      </c>
      <c r="F115" s="1" t="s">
        <v>42</v>
      </c>
      <c r="G115" s="3">
        <f>INT(fact_estoque2[[#This Row],[estoque_sistema]]/fact_estoque2[[#This Row],[quantidade_anuncio]])</f>
        <v>11</v>
      </c>
      <c r="H115" s="1" t="s">
        <v>42</v>
      </c>
    </row>
    <row r="116" spans="1:8" x14ac:dyDescent="0.3">
      <c r="A116" s="1">
        <v>1060</v>
      </c>
      <c r="B116" s="2" t="s">
        <v>170</v>
      </c>
      <c r="C116" s="2" t="s">
        <v>387</v>
      </c>
      <c r="D116" s="1">
        <v>2</v>
      </c>
      <c r="E116" s="1">
        <f>_xlfn.XLOOKUP(fact_estoque2[[#This Row],[sku]], dim_produtos_1[sku], dim_produtos_1[estoque_sistema])</f>
        <v>18</v>
      </c>
      <c r="F116" s="1" t="s">
        <v>42</v>
      </c>
      <c r="G116" s="3">
        <f>INT(fact_estoque2[[#This Row],[estoque_sistema]]/fact_estoque2[[#This Row],[quantidade_anuncio]])</f>
        <v>9</v>
      </c>
      <c r="H116" s="1" t="s">
        <v>45</v>
      </c>
    </row>
    <row r="117" spans="1:8" x14ac:dyDescent="0.3">
      <c r="A117" s="1">
        <v>1060</v>
      </c>
      <c r="B117" s="2" t="s">
        <v>171</v>
      </c>
      <c r="C117" s="2" t="s">
        <v>388</v>
      </c>
      <c r="D117" s="1">
        <v>4</v>
      </c>
      <c r="E117" s="1">
        <f>_xlfn.XLOOKUP(fact_estoque2[[#This Row],[sku]], dim_produtos_1[sku], dim_produtos_1[estoque_sistema])</f>
        <v>18</v>
      </c>
      <c r="F117" s="1" t="s">
        <v>42</v>
      </c>
      <c r="G117" s="3">
        <f>INT(fact_estoque2[[#This Row],[estoque_sistema]]/fact_estoque2[[#This Row],[quantidade_anuncio]])</f>
        <v>4</v>
      </c>
      <c r="H117" s="1" t="s">
        <v>45</v>
      </c>
    </row>
    <row r="118" spans="1:8" x14ac:dyDescent="0.3">
      <c r="A118" s="1">
        <v>1061</v>
      </c>
      <c r="B118" s="2" t="s">
        <v>296</v>
      </c>
      <c r="C118" s="2" t="s">
        <v>464</v>
      </c>
      <c r="D118" s="1">
        <v>1</v>
      </c>
      <c r="E118" s="1">
        <f>_xlfn.XLOOKUP(fact_estoque2[[#This Row],[sku]], dim_produtos_1[sku], dim_produtos_1[estoque_sistema])</f>
        <v>5</v>
      </c>
      <c r="F118" s="1" t="s">
        <v>42</v>
      </c>
      <c r="G118" s="3">
        <f>INT(fact_estoque2[[#This Row],[estoque_sistema]]/fact_estoque2[[#This Row],[quantidade_anuncio]])</f>
        <v>5</v>
      </c>
      <c r="H118" s="1" t="s">
        <v>42</v>
      </c>
    </row>
    <row r="119" spans="1:8" x14ac:dyDescent="0.3">
      <c r="A119" s="1">
        <v>1062</v>
      </c>
      <c r="B119" s="2" t="s">
        <v>183</v>
      </c>
      <c r="C119" s="2" t="s">
        <v>465</v>
      </c>
      <c r="D119" s="1">
        <v>1</v>
      </c>
      <c r="E119" s="1">
        <f>_xlfn.XLOOKUP(fact_estoque2[[#This Row],[sku]], dim_produtos_1[sku], dim_produtos_1[estoque_sistema])</f>
        <v>13</v>
      </c>
      <c r="F119" s="1" t="s">
        <v>42</v>
      </c>
      <c r="G119" s="3">
        <f>INT(fact_estoque2[[#This Row],[estoque_sistema]]/fact_estoque2[[#This Row],[quantidade_anuncio]])</f>
        <v>13</v>
      </c>
      <c r="H119" s="1" t="s">
        <v>42</v>
      </c>
    </row>
    <row r="120" spans="1:8" x14ac:dyDescent="0.3">
      <c r="A120" s="1">
        <v>1063</v>
      </c>
      <c r="B120" s="2" t="s">
        <v>291</v>
      </c>
      <c r="C120" s="2" t="s">
        <v>311</v>
      </c>
      <c r="D120" s="1">
        <v>1</v>
      </c>
      <c r="E120" s="1">
        <f>_xlfn.XLOOKUP(fact_estoque2[[#This Row],[sku]], dim_produtos_1[sku], dim_produtos_1[estoque_sistema])</f>
        <v>2</v>
      </c>
      <c r="F120" s="1" t="s">
        <v>42</v>
      </c>
      <c r="G120" s="3">
        <f>INT(fact_estoque2[[#This Row],[estoque_sistema]]/fact_estoque2[[#This Row],[quantidade_anuncio]])</f>
        <v>2</v>
      </c>
      <c r="H120" s="1" t="s">
        <v>42</v>
      </c>
    </row>
    <row r="121" spans="1:8" x14ac:dyDescent="0.3">
      <c r="A121" s="1">
        <v>1064</v>
      </c>
      <c r="B121" s="2" t="s">
        <v>182</v>
      </c>
      <c r="C121" s="2" t="s">
        <v>312</v>
      </c>
      <c r="D121" s="1">
        <v>1</v>
      </c>
      <c r="E121" s="1">
        <f>_xlfn.XLOOKUP(fact_estoque2[[#This Row],[sku]], dim_produtos_1[sku], dim_produtos_1[estoque_sistema])</f>
        <v>1</v>
      </c>
      <c r="F121" s="1" t="s">
        <v>42</v>
      </c>
      <c r="G121" s="3">
        <f>INT(fact_estoque2[[#This Row],[estoque_sistema]]/fact_estoque2[[#This Row],[quantidade_anuncio]])</f>
        <v>1</v>
      </c>
      <c r="H121" s="1" t="s">
        <v>42</v>
      </c>
    </row>
    <row r="122" spans="1:8" x14ac:dyDescent="0.3">
      <c r="A122" s="1">
        <v>1065</v>
      </c>
      <c r="B122" s="2" t="s">
        <v>138</v>
      </c>
      <c r="C122" s="2" t="s">
        <v>389</v>
      </c>
      <c r="D122" s="1">
        <v>25</v>
      </c>
      <c r="E122" s="1">
        <f>_xlfn.XLOOKUP(fact_estoque2[[#This Row],[sku]], dim_produtos_1[sku], dim_produtos_1[estoque_sistema])</f>
        <v>3857</v>
      </c>
      <c r="F122" s="1" t="s">
        <v>42</v>
      </c>
      <c r="G122" s="3">
        <f>INT(fact_estoque2[[#This Row],[estoque_sistema]]/fact_estoque2[[#This Row],[quantidade_anuncio]])</f>
        <v>154</v>
      </c>
      <c r="H122" s="1" t="s">
        <v>45</v>
      </c>
    </row>
    <row r="123" spans="1:8" x14ac:dyDescent="0.3">
      <c r="A123" s="1">
        <v>1065</v>
      </c>
      <c r="B123" s="2" t="s">
        <v>139</v>
      </c>
      <c r="C123" s="2" t="s">
        <v>390</v>
      </c>
      <c r="D123" s="1">
        <v>10</v>
      </c>
      <c r="E123" s="1">
        <f>_xlfn.XLOOKUP(fact_estoque2[[#This Row],[sku]], dim_produtos_1[sku], dim_produtos_1[estoque_sistema])</f>
        <v>3857</v>
      </c>
      <c r="F123" s="1" t="s">
        <v>42</v>
      </c>
      <c r="G123" s="3">
        <f>INT(fact_estoque2[[#This Row],[estoque_sistema]]/fact_estoque2[[#This Row],[quantidade_anuncio]])</f>
        <v>385</v>
      </c>
      <c r="H123" s="1" t="s">
        <v>45</v>
      </c>
    </row>
    <row r="124" spans="1:8" x14ac:dyDescent="0.3">
      <c r="A124" s="1">
        <v>1065</v>
      </c>
      <c r="B124" s="2" t="s">
        <v>140</v>
      </c>
      <c r="C124" s="2" t="s">
        <v>391</v>
      </c>
      <c r="D124" s="1">
        <v>50</v>
      </c>
      <c r="E124" s="1">
        <f>_xlfn.XLOOKUP(fact_estoque2[[#This Row],[sku]], dim_produtos_1[sku], dim_produtos_1[estoque_sistema])</f>
        <v>3857</v>
      </c>
      <c r="F124" s="1" t="s">
        <v>42</v>
      </c>
      <c r="G124" s="3">
        <f>INT(fact_estoque2[[#This Row],[estoque_sistema]]/fact_estoque2[[#This Row],[quantidade_anuncio]])</f>
        <v>77</v>
      </c>
      <c r="H124" s="1" t="s">
        <v>45</v>
      </c>
    </row>
    <row r="125" spans="1:8" x14ac:dyDescent="0.3">
      <c r="A125" s="1">
        <v>1065</v>
      </c>
      <c r="B125" s="2" t="s">
        <v>141</v>
      </c>
      <c r="C125" s="2" t="s">
        <v>392</v>
      </c>
      <c r="D125" s="1">
        <v>100</v>
      </c>
      <c r="E125" s="1">
        <f>_xlfn.XLOOKUP(fact_estoque2[[#This Row],[sku]], dim_produtos_1[sku], dim_produtos_1[estoque_sistema])</f>
        <v>3857</v>
      </c>
      <c r="F125" s="1" t="s">
        <v>42</v>
      </c>
      <c r="G125" s="3">
        <f>INT(fact_estoque2[[#This Row],[estoque_sistema]]/fact_estoque2[[#This Row],[quantidade_anuncio]])</f>
        <v>38</v>
      </c>
      <c r="H125" s="1" t="s">
        <v>45</v>
      </c>
    </row>
    <row r="126" spans="1:8" x14ac:dyDescent="0.3">
      <c r="A126" s="1">
        <v>1065</v>
      </c>
      <c r="B126" s="2" t="s">
        <v>142</v>
      </c>
      <c r="C126" s="2" t="s">
        <v>393</v>
      </c>
      <c r="D126" s="1">
        <v>125</v>
      </c>
      <c r="E126" s="1">
        <f>_xlfn.XLOOKUP(fact_estoque2[[#This Row],[sku]], dim_produtos_1[sku], dim_produtos_1[estoque_sistema])</f>
        <v>3857</v>
      </c>
      <c r="F126" s="1" t="s">
        <v>42</v>
      </c>
      <c r="G126" s="3">
        <f>INT(fact_estoque2[[#This Row],[estoque_sistema]]/fact_estoque2[[#This Row],[quantidade_anuncio]])</f>
        <v>30</v>
      </c>
      <c r="H126" s="1" t="s">
        <v>45</v>
      </c>
    </row>
    <row r="127" spans="1:8" x14ac:dyDescent="0.3">
      <c r="A127" s="1">
        <v>1066</v>
      </c>
      <c r="B127" s="2" t="s">
        <v>299</v>
      </c>
      <c r="C127" s="2" t="s">
        <v>466</v>
      </c>
      <c r="D127" s="1">
        <v>1</v>
      </c>
      <c r="E127" s="1">
        <f>_xlfn.XLOOKUP(fact_estoque2[[#This Row],[sku]], dim_produtos_1[sku], dim_produtos_1[estoque_sistema])</f>
        <v>365</v>
      </c>
      <c r="F127" s="1" t="s">
        <v>42</v>
      </c>
      <c r="G127" s="3">
        <f>INT(fact_estoque2[[#This Row],[estoque_sistema]]/fact_estoque2[[#This Row],[quantidade_anuncio]])</f>
        <v>365</v>
      </c>
      <c r="H127" s="1" t="s">
        <v>42</v>
      </c>
    </row>
    <row r="128" spans="1:8" x14ac:dyDescent="0.3">
      <c r="A128" s="1">
        <v>1067</v>
      </c>
      <c r="B128" s="2" t="s">
        <v>236</v>
      </c>
      <c r="C128" s="2" t="s">
        <v>394</v>
      </c>
      <c r="D128" s="1">
        <v>5</v>
      </c>
      <c r="E128" s="1">
        <f>_xlfn.XLOOKUP(fact_estoque2[[#This Row],[sku]], dim_produtos_1[sku], dim_produtos_1[estoque_sistema])</f>
        <v>119</v>
      </c>
      <c r="F128" s="1" t="s">
        <v>43</v>
      </c>
      <c r="G128" s="3">
        <f>INT(fact_estoque2[[#This Row],[estoque_sistema]]/fact_estoque2[[#This Row],[quantidade_anuncio]])</f>
        <v>23</v>
      </c>
      <c r="H128" s="1" t="s">
        <v>45</v>
      </c>
    </row>
    <row r="129" spans="1:8" x14ac:dyDescent="0.3">
      <c r="A129" s="1">
        <v>1068</v>
      </c>
      <c r="B129" s="2" t="s">
        <v>297</v>
      </c>
      <c r="C129" s="2" t="s">
        <v>467</v>
      </c>
      <c r="D129" s="1">
        <v>1</v>
      </c>
      <c r="E129" s="1">
        <f>_xlfn.XLOOKUP(fact_estoque2[[#This Row],[sku]], dim_produtos_1[sku], dim_produtos_1[estoque_sistema])</f>
        <v>6973</v>
      </c>
      <c r="F129" s="1" t="s">
        <v>42</v>
      </c>
      <c r="G129" s="3">
        <f>INT(fact_estoque2[[#This Row],[estoque_sistema]]/fact_estoque2[[#This Row],[quantidade_anuncio]])</f>
        <v>6973</v>
      </c>
      <c r="H129" s="1" t="s">
        <v>42</v>
      </c>
    </row>
    <row r="130" spans="1:8" x14ac:dyDescent="0.3">
      <c r="A130" s="1">
        <v>1069</v>
      </c>
      <c r="B130" s="2" t="s">
        <v>228</v>
      </c>
      <c r="C130" s="2" t="s">
        <v>395</v>
      </c>
      <c r="D130" s="1">
        <v>5</v>
      </c>
      <c r="E130" s="1">
        <f>_xlfn.XLOOKUP(fact_estoque2[[#This Row],[sku]], dim_produtos_1[sku], dim_produtos_1[estoque_sistema])</f>
        <v>7</v>
      </c>
      <c r="F130" s="1" t="s">
        <v>42</v>
      </c>
      <c r="G130" s="3">
        <f>INT(fact_estoque2[[#This Row],[estoque_sistema]]/fact_estoque2[[#This Row],[quantidade_anuncio]])</f>
        <v>1</v>
      </c>
      <c r="H130" s="1" t="s">
        <v>45</v>
      </c>
    </row>
    <row r="131" spans="1:8" x14ac:dyDescent="0.3">
      <c r="A131" s="1">
        <v>1069</v>
      </c>
      <c r="B131" s="2" t="s">
        <v>229</v>
      </c>
      <c r="C131" s="2" t="s">
        <v>468</v>
      </c>
      <c r="D131" s="1">
        <v>1</v>
      </c>
      <c r="E131" s="1">
        <f>_xlfn.XLOOKUP(fact_estoque2[[#This Row],[sku]], dim_produtos_1[sku], dim_produtos_1[estoque_sistema])</f>
        <v>7</v>
      </c>
      <c r="F131" s="1" t="s">
        <v>42</v>
      </c>
      <c r="G131" s="3">
        <f>INT(fact_estoque2[[#This Row],[estoque_sistema]]/fact_estoque2[[#This Row],[quantidade_anuncio]])</f>
        <v>7</v>
      </c>
      <c r="H131" s="1" t="s">
        <v>42</v>
      </c>
    </row>
    <row r="132" spans="1:8" x14ac:dyDescent="0.3">
      <c r="A132" s="1">
        <v>1069</v>
      </c>
      <c r="B132" s="2" t="s">
        <v>230</v>
      </c>
      <c r="C132" s="2" t="s">
        <v>396</v>
      </c>
      <c r="D132" s="1">
        <v>10</v>
      </c>
      <c r="E132" s="1">
        <f>_xlfn.XLOOKUP(fact_estoque2[[#This Row],[sku]], dim_produtos_1[sku], dim_produtos_1[estoque_sistema])</f>
        <v>7</v>
      </c>
      <c r="F132" s="1" t="s">
        <v>42</v>
      </c>
      <c r="G132" s="3">
        <f>INT(fact_estoque2[[#This Row],[estoque_sistema]]/fact_estoque2[[#This Row],[quantidade_anuncio]])</f>
        <v>0</v>
      </c>
      <c r="H132" s="1" t="s">
        <v>45</v>
      </c>
    </row>
    <row r="133" spans="1:8" x14ac:dyDescent="0.3">
      <c r="A133" s="1">
        <v>1070</v>
      </c>
      <c r="B133" s="2" t="s">
        <v>294</v>
      </c>
      <c r="C133" s="2" t="s">
        <v>469</v>
      </c>
      <c r="D133" s="1">
        <v>1</v>
      </c>
      <c r="E133" s="1">
        <f>_xlfn.XLOOKUP(fact_estoque2[[#This Row],[sku]], dim_produtos_1[sku], dim_produtos_1[estoque_sistema])</f>
        <v>1</v>
      </c>
      <c r="F133" s="1" t="s">
        <v>42</v>
      </c>
      <c r="G133" s="3">
        <f>INT(fact_estoque2[[#This Row],[estoque_sistema]]/fact_estoque2[[#This Row],[quantidade_anuncio]])</f>
        <v>1</v>
      </c>
      <c r="H133" s="1" t="s">
        <v>42</v>
      </c>
    </row>
    <row r="134" spans="1:8" x14ac:dyDescent="0.3">
      <c r="A134" s="1">
        <v>1072</v>
      </c>
      <c r="B134" s="2" t="s">
        <v>269</v>
      </c>
      <c r="C134" s="2" t="s">
        <v>397</v>
      </c>
      <c r="D134" s="1">
        <v>10</v>
      </c>
      <c r="E134" s="1">
        <f>_xlfn.XLOOKUP(fact_estoque2[[#This Row],[sku]], dim_produtos_1[sku], dim_produtos_1[estoque_sistema])</f>
        <v>268</v>
      </c>
      <c r="F134" s="1" t="s">
        <v>42</v>
      </c>
      <c r="G134" s="3">
        <f>INT(fact_estoque2[[#This Row],[estoque_sistema]]/fact_estoque2[[#This Row],[quantidade_anuncio]])</f>
        <v>26</v>
      </c>
      <c r="H134" s="1" t="s">
        <v>45</v>
      </c>
    </row>
    <row r="135" spans="1:8" x14ac:dyDescent="0.3">
      <c r="A135" s="1">
        <v>1072</v>
      </c>
      <c r="B135" s="2" t="s">
        <v>270</v>
      </c>
      <c r="C135" s="2" t="s">
        <v>398</v>
      </c>
      <c r="D135" s="1">
        <v>20</v>
      </c>
      <c r="E135" s="1">
        <f>_xlfn.XLOOKUP(fact_estoque2[[#This Row],[sku]], dim_produtos_1[sku], dim_produtos_1[estoque_sistema])</f>
        <v>268</v>
      </c>
      <c r="F135" s="1" t="s">
        <v>42</v>
      </c>
      <c r="G135" s="3">
        <f>INT(fact_estoque2[[#This Row],[estoque_sistema]]/fact_estoque2[[#This Row],[quantidade_anuncio]])</f>
        <v>13</v>
      </c>
      <c r="H135" s="1" t="s">
        <v>45</v>
      </c>
    </row>
    <row r="136" spans="1:8" x14ac:dyDescent="0.3">
      <c r="A136" s="1">
        <v>1072</v>
      </c>
      <c r="B136" s="2" t="s">
        <v>271</v>
      </c>
      <c r="C136" s="2" t="s">
        <v>399</v>
      </c>
      <c r="D136" s="1">
        <v>30</v>
      </c>
      <c r="E136" s="1">
        <f>_xlfn.XLOOKUP(fact_estoque2[[#This Row],[sku]], dim_produtos_1[sku], dim_produtos_1[estoque_sistema])</f>
        <v>268</v>
      </c>
      <c r="F136" s="1" t="s">
        <v>42</v>
      </c>
      <c r="G136" s="3">
        <f>INT(fact_estoque2[[#This Row],[estoque_sistema]]/fact_estoque2[[#This Row],[quantidade_anuncio]])</f>
        <v>8</v>
      </c>
      <c r="H136" s="1" t="s">
        <v>45</v>
      </c>
    </row>
    <row r="137" spans="1:8" x14ac:dyDescent="0.3">
      <c r="A137" s="1">
        <v>1072</v>
      </c>
      <c r="B137" s="2" t="s">
        <v>272</v>
      </c>
      <c r="C137" s="2" t="s">
        <v>400</v>
      </c>
      <c r="D137" s="1">
        <v>40</v>
      </c>
      <c r="E137" s="1">
        <f>_xlfn.XLOOKUP(fact_estoque2[[#This Row],[sku]], dim_produtos_1[sku], dim_produtos_1[estoque_sistema])</f>
        <v>268</v>
      </c>
      <c r="F137" s="1" t="s">
        <v>42</v>
      </c>
      <c r="G137" s="3">
        <f>INT(fact_estoque2[[#This Row],[estoque_sistema]]/fact_estoque2[[#This Row],[quantidade_anuncio]])</f>
        <v>6</v>
      </c>
      <c r="H137" s="1" t="s">
        <v>45</v>
      </c>
    </row>
    <row r="138" spans="1:8" x14ac:dyDescent="0.3">
      <c r="A138" s="1">
        <v>1073</v>
      </c>
      <c r="B138" s="2" t="s">
        <v>288</v>
      </c>
      <c r="C138" s="2" t="s">
        <v>401</v>
      </c>
      <c r="D138" s="1">
        <v>1</v>
      </c>
      <c r="E138" s="1">
        <f>_xlfn.XLOOKUP(fact_estoque2[[#This Row],[sku]], dim_produtos_1[sku], dim_produtos_1[estoque_sistema])</f>
        <v>14</v>
      </c>
      <c r="F138" s="1" t="s">
        <v>42</v>
      </c>
      <c r="G138" s="3">
        <f>INT(fact_estoque2[[#This Row],[estoque_sistema]]/fact_estoque2[[#This Row],[quantidade_anuncio]])</f>
        <v>14</v>
      </c>
      <c r="H138" s="1" t="s">
        <v>42</v>
      </c>
    </row>
    <row r="139" spans="1:8" x14ac:dyDescent="0.3">
      <c r="A139" s="1">
        <v>1074</v>
      </c>
      <c r="B139" s="2" t="s">
        <v>252</v>
      </c>
      <c r="C139" s="2" t="s">
        <v>402</v>
      </c>
      <c r="D139" s="1">
        <v>1</v>
      </c>
      <c r="E139" s="1">
        <f>_xlfn.XLOOKUP(fact_estoque2[[#This Row],[sku]], dim_produtos_1[sku], dim_produtos_1[estoque_sistema])</f>
        <v>45</v>
      </c>
      <c r="F139" s="1" t="s">
        <v>42</v>
      </c>
      <c r="G139" s="3">
        <f>INT(fact_estoque2[[#This Row],[estoque_sistema]]/fact_estoque2[[#This Row],[quantidade_anuncio]])</f>
        <v>45</v>
      </c>
      <c r="H139" s="1" t="s">
        <v>42</v>
      </c>
    </row>
    <row r="140" spans="1:8" x14ac:dyDescent="0.3">
      <c r="A140" s="1">
        <v>1074</v>
      </c>
      <c r="B140" s="2" t="s">
        <v>253</v>
      </c>
      <c r="C140" s="2" t="s">
        <v>403</v>
      </c>
      <c r="D140" s="1">
        <v>2</v>
      </c>
      <c r="E140" s="1">
        <f>_xlfn.XLOOKUP(fact_estoque2[[#This Row],[sku]], dim_produtos_1[sku], dim_produtos_1[estoque_sistema])</f>
        <v>45</v>
      </c>
      <c r="F140" s="1" t="s">
        <v>42</v>
      </c>
      <c r="G140" s="3">
        <f>INT(fact_estoque2[[#This Row],[estoque_sistema]]/fact_estoque2[[#This Row],[quantidade_anuncio]])</f>
        <v>22</v>
      </c>
      <c r="H140" s="1" t="s">
        <v>45</v>
      </c>
    </row>
    <row r="141" spans="1:8" x14ac:dyDescent="0.3">
      <c r="A141" s="1">
        <v>1075</v>
      </c>
      <c r="B141" s="2" t="s">
        <v>190</v>
      </c>
      <c r="C141" s="2" t="s">
        <v>405</v>
      </c>
      <c r="D141" s="1">
        <v>5</v>
      </c>
      <c r="E141" s="1">
        <f>_xlfn.XLOOKUP(fact_estoque2[[#This Row],[sku]], dim_produtos_1[sku], dim_produtos_1[estoque_sistema])</f>
        <v>14</v>
      </c>
      <c r="F141" s="1" t="s">
        <v>42</v>
      </c>
      <c r="G141" s="3">
        <f>INT(fact_estoque2[[#This Row],[estoque_sistema]]/fact_estoque2[[#This Row],[quantidade_anuncio]])</f>
        <v>2</v>
      </c>
      <c r="H141" s="1" t="s">
        <v>45</v>
      </c>
    </row>
    <row r="142" spans="1:8" x14ac:dyDescent="0.3">
      <c r="A142" s="1">
        <v>1075</v>
      </c>
      <c r="B142" s="2" t="s">
        <v>191</v>
      </c>
      <c r="C142" s="2" t="s">
        <v>404</v>
      </c>
      <c r="D142" s="1">
        <v>1</v>
      </c>
      <c r="E142" s="1">
        <f>_xlfn.XLOOKUP(fact_estoque2[[#This Row],[sku]], dim_produtos_1[sku], dim_produtos_1[estoque_sistema])</f>
        <v>14</v>
      </c>
      <c r="F142" s="1" t="s">
        <v>42</v>
      </c>
      <c r="G142" s="3">
        <f>INT(fact_estoque2[[#This Row],[estoque_sistema]]/fact_estoque2[[#This Row],[quantidade_anuncio]])</f>
        <v>14</v>
      </c>
      <c r="H142" s="1" t="s">
        <v>42</v>
      </c>
    </row>
    <row r="143" spans="1:8" x14ac:dyDescent="0.3">
      <c r="A143" s="1">
        <v>1075</v>
      </c>
      <c r="B143" s="2" t="s">
        <v>192</v>
      </c>
      <c r="C143" s="2" t="s">
        <v>406</v>
      </c>
      <c r="D143" s="1">
        <v>10</v>
      </c>
      <c r="E143" s="1">
        <f>_xlfn.XLOOKUP(fact_estoque2[[#This Row],[sku]], dim_produtos_1[sku], dim_produtos_1[estoque_sistema])</f>
        <v>14</v>
      </c>
      <c r="F143" s="1" t="s">
        <v>42</v>
      </c>
      <c r="G143" s="3">
        <f>INT(fact_estoque2[[#This Row],[estoque_sistema]]/fact_estoque2[[#This Row],[quantidade_anuncio]])</f>
        <v>1</v>
      </c>
      <c r="H143" s="1" t="s">
        <v>45</v>
      </c>
    </row>
    <row r="144" spans="1:8" x14ac:dyDescent="0.3">
      <c r="A144" s="1">
        <v>1076</v>
      </c>
      <c r="B144" s="2" t="s">
        <v>187</v>
      </c>
      <c r="C144" s="2" t="s">
        <v>407</v>
      </c>
      <c r="D144" s="1">
        <v>5</v>
      </c>
      <c r="E144" s="1">
        <f>_xlfn.XLOOKUP(fact_estoque2[[#This Row],[sku]], dim_produtos_1[sku], dim_produtos_1[estoque_sistema])</f>
        <v>43</v>
      </c>
      <c r="F144" s="1" t="s">
        <v>42</v>
      </c>
      <c r="G144" s="3">
        <f>INT(fact_estoque2[[#This Row],[estoque_sistema]]/fact_estoque2[[#This Row],[quantidade_anuncio]])</f>
        <v>8</v>
      </c>
      <c r="H144" s="1" t="s">
        <v>45</v>
      </c>
    </row>
    <row r="145" spans="1:8" x14ac:dyDescent="0.3">
      <c r="A145" s="1">
        <v>1077</v>
      </c>
      <c r="B145" s="2" t="s">
        <v>293</v>
      </c>
      <c r="C145" s="2" t="s">
        <v>408</v>
      </c>
      <c r="D145" s="1">
        <v>1</v>
      </c>
      <c r="E145" s="1">
        <f>_xlfn.XLOOKUP(fact_estoque2[[#This Row],[sku]], dim_produtos_1[sku], dim_produtos_1[estoque_sistema])</f>
        <v>1</v>
      </c>
      <c r="F145" s="1" t="s">
        <v>42</v>
      </c>
      <c r="G145" s="3">
        <f>INT(fact_estoque2[[#This Row],[estoque_sistema]]/fact_estoque2[[#This Row],[quantidade_anuncio]])</f>
        <v>1</v>
      </c>
      <c r="H145" s="1" t="s">
        <v>42</v>
      </c>
    </row>
    <row r="146" spans="1:8" x14ac:dyDescent="0.3">
      <c r="A146" s="1">
        <v>1078</v>
      </c>
      <c r="B146" s="2" t="s">
        <v>300</v>
      </c>
      <c r="C146" s="2" t="s">
        <v>409</v>
      </c>
      <c r="D146" s="1">
        <v>1</v>
      </c>
      <c r="E146" s="1">
        <f>_xlfn.XLOOKUP(fact_estoque2[[#This Row],[sku]], dim_produtos_1[sku], dim_produtos_1[estoque_sistema])</f>
        <v>5587</v>
      </c>
      <c r="F146" s="1" t="s">
        <v>42</v>
      </c>
      <c r="G146" s="3">
        <f>INT(fact_estoque2[[#This Row],[estoque_sistema]]/fact_estoque2[[#This Row],[quantidade_anuncio]])</f>
        <v>5587</v>
      </c>
      <c r="H146" s="1" t="s">
        <v>42</v>
      </c>
    </row>
    <row r="147" spans="1:8" x14ac:dyDescent="0.3">
      <c r="A147" s="1">
        <v>1079</v>
      </c>
      <c r="B147" s="2" t="s">
        <v>156</v>
      </c>
      <c r="C147" s="2" t="s">
        <v>410</v>
      </c>
      <c r="D147" s="1">
        <v>10</v>
      </c>
      <c r="E147" s="1">
        <f>_xlfn.XLOOKUP(fact_estoque2[[#This Row],[sku]], dim_produtos_1[sku], dim_produtos_1[estoque_sistema])</f>
        <v>2471</v>
      </c>
      <c r="F147" s="1" t="s">
        <v>42</v>
      </c>
      <c r="G147" s="3">
        <f>INT(fact_estoque2[[#This Row],[estoque_sistema]]/fact_estoque2[[#This Row],[quantidade_anuncio]])</f>
        <v>247</v>
      </c>
      <c r="H147" s="1" t="s">
        <v>45</v>
      </c>
    </row>
    <row r="148" spans="1:8" x14ac:dyDescent="0.3">
      <c r="A148" s="1">
        <v>1079</v>
      </c>
      <c r="B148" s="2" t="s">
        <v>157</v>
      </c>
      <c r="C148" s="2" t="s">
        <v>411</v>
      </c>
      <c r="D148" s="1">
        <v>25</v>
      </c>
      <c r="E148" s="1">
        <f>_xlfn.XLOOKUP(fact_estoque2[[#This Row],[sku]], dim_produtos_1[sku], dim_produtos_1[estoque_sistema])</f>
        <v>2471</v>
      </c>
      <c r="F148" s="1" t="s">
        <v>42</v>
      </c>
      <c r="G148" s="3">
        <f>INT(fact_estoque2[[#This Row],[estoque_sistema]]/fact_estoque2[[#This Row],[quantidade_anuncio]])</f>
        <v>98</v>
      </c>
      <c r="H148" s="1" t="s">
        <v>45</v>
      </c>
    </row>
    <row r="149" spans="1:8" x14ac:dyDescent="0.3">
      <c r="A149" s="1">
        <v>1079</v>
      </c>
      <c r="B149" s="2" t="s">
        <v>158</v>
      </c>
      <c r="C149" s="2" t="s">
        <v>412</v>
      </c>
      <c r="D149" s="1">
        <v>15</v>
      </c>
      <c r="E149" s="1">
        <f>_xlfn.XLOOKUP(fact_estoque2[[#This Row],[sku]], dim_produtos_1[sku], dim_produtos_1[estoque_sistema])</f>
        <v>2471</v>
      </c>
      <c r="F149" s="1" t="s">
        <v>42</v>
      </c>
      <c r="G149" s="3">
        <f>INT(fact_estoque2[[#This Row],[estoque_sistema]]/fact_estoque2[[#This Row],[quantidade_anuncio]])</f>
        <v>164</v>
      </c>
      <c r="H149" s="1" t="s">
        <v>45</v>
      </c>
    </row>
    <row r="150" spans="1:8" x14ac:dyDescent="0.3">
      <c r="A150" s="1">
        <v>1080</v>
      </c>
      <c r="B150" s="2" t="s">
        <v>231</v>
      </c>
      <c r="C150" s="2" t="s">
        <v>413</v>
      </c>
      <c r="D150" s="1">
        <v>5</v>
      </c>
      <c r="E150" s="1">
        <f>_xlfn.XLOOKUP(fact_estoque2[[#This Row],[sku]], dim_produtos_1[sku], dim_produtos_1[estoque_sistema])</f>
        <v>1</v>
      </c>
      <c r="F150" s="1" t="s">
        <v>42</v>
      </c>
      <c r="G150" s="3">
        <f>INT(fact_estoque2[[#This Row],[estoque_sistema]]/fact_estoque2[[#This Row],[quantidade_anuncio]])</f>
        <v>0</v>
      </c>
      <c r="H150" s="1" t="s">
        <v>45</v>
      </c>
    </row>
    <row r="151" spans="1:8" x14ac:dyDescent="0.3">
      <c r="A151" s="1">
        <v>1080</v>
      </c>
      <c r="B151" s="2" t="s">
        <v>232</v>
      </c>
      <c r="C151" s="2" t="s">
        <v>414</v>
      </c>
      <c r="D151" s="1">
        <v>1</v>
      </c>
      <c r="E151" s="1">
        <f>_xlfn.XLOOKUP(fact_estoque2[[#This Row],[sku]], dim_produtos_1[sku], dim_produtos_1[estoque_sistema])</f>
        <v>1</v>
      </c>
      <c r="F151" s="1" t="s">
        <v>42</v>
      </c>
      <c r="G151" s="3">
        <f>INT(fact_estoque2[[#This Row],[estoque_sistema]]/fact_estoque2[[#This Row],[quantidade_anuncio]])</f>
        <v>1</v>
      </c>
      <c r="H151" s="1" t="s">
        <v>42</v>
      </c>
    </row>
    <row r="152" spans="1:8" x14ac:dyDescent="0.3">
      <c r="A152" s="1">
        <v>1081</v>
      </c>
      <c r="B152" s="2" t="s">
        <v>278</v>
      </c>
      <c r="C152" s="2" t="s">
        <v>415</v>
      </c>
      <c r="D152" s="1">
        <v>10</v>
      </c>
      <c r="E152" s="1">
        <f>_xlfn.XLOOKUP(fact_estoque2[[#This Row],[sku]], dim_produtos_1[sku], dim_produtos_1[estoque_sistema])</f>
        <v>144</v>
      </c>
      <c r="F152" s="1" t="s">
        <v>42</v>
      </c>
      <c r="G152" s="3">
        <f>INT(fact_estoque2[[#This Row],[estoque_sistema]]/fact_estoque2[[#This Row],[quantidade_anuncio]])</f>
        <v>14</v>
      </c>
      <c r="H152" s="1" t="s">
        <v>45</v>
      </c>
    </row>
    <row r="153" spans="1:8" x14ac:dyDescent="0.3">
      <c r="A153" s="1">
        <v>1081</v>
      </c>
      <c r="B153" s="2" t="s">
        <v>279</v>
      </c>
      <c r="C153" s="2" t="s">
        <v>416</v>
      </c>
      <c r="D153" s="1">
        <v>20</v>
      </c>
      <c r="E153" s="1">
        <f>_xlfn.XLOOKUP(fact_estoque2[[#This Row],[sku]], dim_produtos_1[sku], dim_produtos_1[estoque_sistema])</f>
        <v>144</v>
      </c>
      <c r="F153" s="1" t="s">
        <v>42</v>
      </c>
      <c r="G153" s="3">
        <f>INT(fact_estoque2[[#This Row],[estoque_sistema]]/fact_estoque2[[#This Row],[quantidade_anuncio]])</f>
        <v>7</v>
      </c>
      <c r="H153" s="1" t="s">
        <v>45</v>
      </c>
    </row>
    <row r="154" spans="1:8" x14ac:dyDescent="0.3">
      <c r="A154" s="1">
        <v>1081</v>
      </c>
      <c r="B154" s="2" t="s">
        <v>280</v>
      </c>
      <c r="C154" s="2" t="s">
        <v>417</v>
      </c>
      <c r="D154" s="1">
        <v>25</v>
      </c>
      <c r="E154" s="1">
        <f>_xlfn.XLOOKUP(fact_estoque2[[#This Row],[sku]], dim_produtos_1[sku], dim_produtos_1[estoque_sistema])</f>
        <v>144</v>
      </c>
      <c r="F154" s="1" t="s">
        <v>42</v>
      </c>
      <c r="G154" s="3">
        <f>INT(fact_estoque2[[#This Row],[estoque_sistema]]/fact_estoque2[[#This Row],[quantidade_anuncio]])</f>
        <v>5</v>
      </c>
      <c r="H154" s="1" t="s">
        <v>45</v>
      </c>
    </row>
    <row r="155" spans="1:8" x14ac:dyDescent="0.3">
      <c r="A155" s="1">
        <v>1081</v>
      </c>
      <c r="B155" s="2" t="s">
        <v>281</v>
      </c>
      <c r="C155" s="2" t="s">
        <v>418</v>
      </c>
      <c r="D155" s="1">
        <v>50</v>
      </c>
      <c r="E155" s="1">
        <f>_xlfn.XLOOKUP(fact_estoque2[[#This Row],[sku]], dim_produtos_1[sku], dim_produtos_1[estoque_sistema])</f>
        <v>144</v>
      </c>
      <c r="F155" s="1" t="s">
        <v>42</v>
      </c>
      <c r="G155" s="3">
        <f>INT(fact_estoque2[[#This Row],[estoque_sistema]]/fact_estoque2[[#This Row],[quantidade_anuncio]])</f>
        <v>2</v>
      </c>
      <c r="H155" s="1" t="s">
        <v>45</v>
      </c>
    </row>
    <row r="156" spans="1:8" x14ac:dyDescent="0.3">
      <c r="A156" s="1">
        <v>1082</v>
      </c>
      <c r="B156" s="2" t="s">
        <v>174</v>
      </c>
      <c r="C156" s="2" t="s">
        <v>419</v>
      </c>
      <c r="D156" s="1">
        <v>1</v>
      </c>
      <c r="E156" s="1">
        <f>_xlfn.XLOOKUP(fact_estoque2[[#This Row],[sku]], dim_produtos_1[sku], dim_produtos_1[estoque_sistema])</f>
        <v>4</v>
      </c>
      <c r="F156" s="1" t="s">
        <v>42</v>
      </c>
      <c r="G156" s="3">
        <f>INT(fact_estoque2[[#This Row],[estoque_sistema]]/fact_estoque2[[#This Row],[quantidade_anuncio]])</f>
        <v>4</v>
      </c>
      <c r="H156" s="1" t="s">
        <v>42</v>
      </c>
    </row>
    <row r="157" spans="1:8" x14ac:dyDescent="0.3">
      <c r="A157" s="1">
        <v>1083</v>
      </c>
      <c r="B157" s="2" t="s">
        <v>263</v>
      </c>
      <c r="C157" s="2" t="s">
        <v>420</v>
      </c>
      <c r="D157" s="1">
        <v>2</v>
      </c>
      <c r="E157" s="1">
        <f>_xlfn.XLOOKUP(fact_estoque2[[#This Row],[sku]], dim_produtos_1[sku], dim_produtos_1[estoque_sistema])</f>
        <v>183</v>
      </c>
      <c r="F157" s="1" t="s">
        <v>43</v>
      </c>
      <c r="G157" s="3">
        <f>INT(fact_estoque2[[#This Row],[estoque_sistema]]/fact_estoque2[[#This Row],[quantidade_anuncio]])</f>
        <v>91</v>
      </c>
      <c r="H157" s="1" t="s">
        <v>45</v>
      </c>
    </row>
    <row r="158" spans="1:8" x14ac:dyDescent="0.3">
      <c r="A158" s="1">
        <v>1083</v>
      </c>
      <c r="B158" s="2" t="s">
        <v>264</v>
      </c>
      <c r="C158" s="2" t="s">
        <v>421</v>
      </c>
      <c r="D158" s="1">
        <v>5</v>
      </c>
      <c r="E158" s="1">
        <f>_xlfn.XLOOKUP(fact_estoque2[[#This Row],[sku]], dim_produtos_1[sku], dim_produtos_1[estoque_sistema])</f>
        <v>183</v>
      </c>
      <c r="F158" s="1" t="s">
        <v>43</v>
      </c>
      <c r="G158" s="3">
        <f>INT(fact_estoque2[[#This Row],[estoque_sistema]]/fact_estoque2[[#This Row],[quantidade_anuncio]])</f>
        <v>36</v>
      </c>
      <c r="H158" s="1" t="s">
        <v>45</v>
      </c>
    </row>
    <row r="159" spans="1:8" x14ac:dyDescent="0.3">
      <c r="A159" s="1">
        <v>1085</v>
      </c>
      <c r="B159" s="2" t="s">
        <v>179</v>
      </c>
      <c r="C159" s="2" t="s">
        <v>422</v>
      </c>
      <c r="D159" s="1">
        <v>10</v>
      </c>
      <c r="E159" s="1">
        <f>_xlfn.XLOOKUP(fact_estoque2[[#This Row],[sku]], dim_produtos_1[sku], dim_produtos_1[estoque_sistema])</f>
        <v>311</v>
      </c>
      <c r="F159" s="1" t="s">
        <v>42</v>
      </c>
      <c r="G159" s="3">
        <f>INT(fact_estoque2[[#This Row],[estoque_sistema]]/fact_estoque2[[#This Row],[quantidade_anuncio]])</f>
        <v>31</v>
      </c>
      <c r="H159" s="1" t="s">
        <v>45</v>
      </c>
    </row>
    <row r="160" spans="1:8" x14ac:dyDescent="0.3">
      <c r="A160" s="1">
        <v>1086</v>
      </c>
      <c r="B160" s="2" t="s">
        <v>188</v>
      </c>
      <c r="C160" s="2" t="s">
        <v>423</v>
      </c>
      <c r="D160" s="1">
        <v>5</v>
      </c>
      <c r="E160" s="1">
        <f>_xlfn.XLOOKUP(fact_estoque2[[#This Row],[sku]], dim_produtos_1[sku], dim_produtos_1[estoque_sistema])</f>
        <v>22</v>
      </c>
      <c r="F160" s="1" t="s">
        <v>42</v>
      </c>
      <c r="G160" s="3">
        <f>INT(fact_estoque2[[#This Row],[estoque_sistema]]/fact_estoque2[[#This Row],[quantidade_anuncio]])</f>
        <v>4</v>
      </c>
      <c r="H160" s="1" t="s">
        <v>45</v>
      </c>
    </row>
    <row r="161" spans="1:8" x14ac:dyDescent="0.3">
      <c r="A161" s="1">
        <v>1086</v>
      </c>
      <c r="B161" s="2" t="s">
        <v>189</v>
      </c>
      <c r="C161" s="2" t="s">
        <v>424</v>
      </c>
      <c r="D161" s="1">
        <v>1</v>
      </c>
      <c r="E161" s="1">
        <f>_xlfn.XLOOKUP(fact_estoque2[[#This Row],[sku]], dim_produtos_1[sku], dim_produtos_1[estoque_sistema])</f>
        <v>22</v>
      </c>
      <c r="F161" s="1" t="s">
        <v>42</v>
      </c>
      <c r="G161" s="3">
        <f>INT(fact_estoque2[[#This Row],[estoque_sistema]]/fact_estoque2[[#This Row],[quantidade_anuncio]])</f>
        <v>22</v>
      </c>
      <c r="H161" s="1" t="s">
        <v>42</v>
      </c>
    </row>
    <row r="162" spans="1:8" x14ac:dyDescent="0.3">
      <c r="A162" s="1">
        <v>1087</v>
      </c>
      <c r="B162" s="2" t="s">
        <v>196</v>
      </c>
      <c r="C162" s="2" t="s">
        <v>425</v>
      </c>
      <c r="D162" s="1">
        <v>5</v>
      </c>
      <c r="E162" s="1">
        <f>_xlfn.XLOOKUP(fact_estoque2[[#This Row],[sku]], dim_produtos_1[sku], dim_produtos_1[estoque_sistema])</f>
        <v>20</v>
      </c>
      <c r="F162" s="1" t="s">
        <v>42</v>
      </c>
      <c r="G162" s="3">
        <f>INT(fact_estoque2[[#This Row],[estoque_sistema]]/fact_estoque2[[#This Row],[quantidade_anuncio]])</f>
        <v>4</v>
      </c>
      <c r="H162" s="1" t="s">
        <v>45</v>
      </c>
    </row>
    <row r="163" spans="1:8" x14ac:dyDescent="0.3">
      <c r="A163" s="1">
        <v>1087</v>
      </c>
      <c r="B163" s="2" t="s">
        <v>197</v>
      </c>
      <c r="C163" s="2" t="s">
        <v>426</v>
      </c>
      <c r="D163" s="1">
        <v>1</v>
      </c>
      <c r="E163" s="1">
        <f>_xlfn.XLOOKUP(fact_estoque2[[#This Row],[sku]], dim_produtos_1[sku], dim_produtos_1[estoque_sistema])</f>
        <v>20</v>
      </c>
      <c r="F163" s="1" t="s">
        <v>42</v>
      </c>
      <c r="G163" s="3">
        <f>INT(fact_estoque2[[#This Row],[estoque_sistema]]/fact_estoque2[[#This Row],[quantidade_anuncio]])</f>
        <v>20</v>
      </c>
      <c r="H163" s="1" t="s">
        <v>42</v>
      </c>
    </row>
    <row r="164" spans="1:8" x14ac:dyDescent="0.3">
      <c r="A164" s="1">
        <v>1087</v>
      </c>
      <c r="B164" s="2" t="s">
        <v>198</v>
      </c>
      <c r="C164" s="2" t="s">
        <v>427</v>
      </c>
      <c r="D164" s="1">
        <v>10</v>
      </c>
      <c r="E164" s="1">
        <f>_xlfn.XLOOKUP(fact_estoque2[[#This Row],[sku]], dim_produtos_1[sku], dim_produtos_1[estoque_sistema])</f>
        <v>20</v>
      </c>
      <c r="F164" s="1" t="s">
        <v>42</v>
      </c>
      <c r="G164" s="3">
        <f>INT(fact_estoque2[[#This Row],[estoque_sistema]]/fact_estoque2[[#This Row],[quantidade_anuncio]])</f>
        <v>2</v>
      </c>
      <c r="H164" s="1" t="s">
        <v>45</v>
      </c>
    </row>
    <row r="165" spans="1:8" x14ac:dyDescent="0.3">
      <c r="A165" s="1">
        <v>1089</v>
      </c>
      <c r="B165" s="2" t="s">
        <v>154</v>
      </c>
      <c r="C165" s="2" t="s">
        <v>428</v>
      </c>
      <c r="D165" s="1">
        <v>25</v>
      </c>
      <c r="E165" s="1">
        <f>_xlfn.XLOOKUP(fact_estoque2[[#This Row],[sku]], dim_produtos_1[sku], dim_produtos_1[estoque_sistema])</f>
        <v>1865</v>
      </c>
      <c r="F165" s="1" t="s">
        <v>42</v>
      </c>
      <c r="G165" s="3">
        <f>INT(fact_estoque2[[#This Row],[estoque_sistema]]/fact_estoque2[[#This Row],[quantidade_anuncio]])</f>
        <v>74</v>
      </c>
      <c r="H165" s="1" t="s">
        <v>45</v>
      </c>
    </row>
    <row r="166" spans="1:8" x14ac:dyDescent="0.3">
      <c r="A166" s="1">
        <v>1089</v>
      </c>
      <c r="B166" s="2" t="s">
        <v>155</v>
      </c>
      <c r="C166" s="2" t="s">
        <v>429</v>
      </c>
      <c r="D166" s="1">
        <v>50</v>
      </c>
      <c r="E166" s="1">
        <f>_xlfn.XLOOKUP(fact_estoque2[[#This Row],[sku]], dim_produtos_1[sku], dim_produtos_1[estoque_sistema])</f>
        <v>1865</v>
      </c>
      <c r="F166" s="1" t="s">
        <v>42</v>
      </c>
      <c r="G166" s="3">
        <f>INT(fact_estoque2[[#This Row],[estoque_sistema]]/fact_estoque2[[#This Row],[quantidade_anuncio]])</f>
        <v>37</v>
      </c>
      <c r="H166" s="1" t="s">
        <v>45</v>
      </c>
    </row>
    <row r="167" spans="1:8" x14ac:dyDescent="0.3">
      <c r="A167" s="1">
        <v>1091</v>
      </c>
      <c r="B167" s="2" t="s">
        <v>292</v>
      </c>
      <c r="C167" s="2" t="s">
        <v>430</v>
      </c>
      <c r="D167" s="1">
        <v>1</v>
      </c>
      <c r="E167" s="1">
        <f>_xlfn.XLOOKUP(fact_estoque2[[#This Row],[sku]], dim_produtos_1[sku], dim_produtos_1[estoque_sistema])</f>
        <v>4</v>
      </c>
      <c r="F167" s="1" t="s">
        <v>42</v>
      </c>
      <c r="G167" s="3">
        <f>INT(fact_estoque2[[#This Row],[estoque_sistema]]/fact_estoque2[[#This Row],[quantidade_anuncio]])</f>
        <v>4</v>
      </c>
      <c r="H167" s="1" t="s">
        <v>42</v>
      </c>
    </row>
    <row r="168" spans="1:8" x14ac:dyDescent="0.3">
      <c r="B168" s="2"/>
      <c r="G168" s="3"/>
    </row>
    <row r="169" spans="1:8" x14ac:dyDescent="0.3">
      <c r="B169" s="2"/>
      <c r="G169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AB78-9324-4F98-B2D4-163008D5C673}">
  <dimension ref="A1:U167"/>
  <sheetViews>
    <sheetView tabSelected="1" topLeftCell="A142" workbookViewId="0">
      <selection activeCell="B167" sqref="B167"/>
    </sheetView>
  </sheetViews>
  <sheetFormatPr defaultRowHeight="14.4" x14ac:dyDescent="0.3"/>
  <cols>
    <col min="1" max="1" width="6.109375" bestFit="1" customWidth="1"/>
    <col min="2" max="2" width="14.77734375" bestFit="1" customWidth="1"/>
    <col min="3" max="3" width="80.88671875" bestFit="1" customWidth="1"/>
    <col min="4" max="4" width="37.109375" style="1" customWidth="1"/>
    <col min="5" max="5" width="6.88671875" customWidth="1"/>
    <col min="6" max="6" width="12.33203125" style="8" bestFit="1" customWidth="1"/>
    <col min="7" max="7" width="16.6640625" style="8" bestFit="1" customWidth="1"/>
    <col min="8" max="8" width="15.77734375" style="8" bestFit="1" customWidth="1"/>
    <col min="9" max="9" width="20.109375" bestFit="1" customWidth="1"/>
    <col min="10" max="10" width="19.77734375" bestFit="1" customWidth="1"/>
    <col min="11" max="11" width="14.33203125" bestFit="1" customWidth="1"/>
    <col min="12" max="12" width="15.77734375" bestFit="1" customWidth="1"/>
    <col min="13" max="13" width="11.44140625" style="9" customWidth="1"/>
    <col min="14" max="14" width="7.21875" style="9" bestFit="1" customWidth="1"/>
    <col min="15" max="15" width="16.5546875" style="4" bestFit="1" customWidth="1"/>
    <col min="16" max="16" width="17.33203125" style="4" bestFit="1" customWidth="1"/>
    <col min="17" max="17" width="19.109375" style="9" customWidth="1"/>
    <col min="18" max="18" width="15.88671875" style="9" customWidth="1"/>
    <col min="19" max="20" width="12" style="9" bestFit="1" customWidth="1"/>
    <col min="21" max="21" width="45.77734375" bestFit="1" customWidth="1"/>
  </cols>
  <sheetData>
    <row r="1" spans="1:21" x14ac:dyDescent="0.3">
      <c r="A1" t="s">
        <v>0</v>
      </c>
      <c r="B1" t="s">
        <v>9</v>
      </c>
      <c r="C1" t="s">
        <v>17</v>
      </c>
      <c r="D1" s="1" t="s">
        <v>39</v>
      </c>
      <c r="E1" t="s">
        <v>11</v>
      </c>
      <c r="F1" s="8" t="s">
        <v>30</v>
      </c>
      <c r="G1" s="8" t="s">
        <v>36</v>
      </c>
      <c r="H1" s="8" t="s">
        <v>29</v>
      </c>
      <c r="I1" t="s">
        <v>15</v>
      </c>
      <c r="J1" t="s">
        <v>32</v>
      </c>
      <c r="K1" t="s">
        <v>10</v>
      </c>
      <c r="L1" t="s">
        <v>31</v>
      </c>
      <c r="M1" s="9" t="s">
        <v>12</v>
      </c>
      <c r="N1" s="9" t="s">
        <v>13</v>
      </c>
      <c r="O1" s="4" t="s">
        <v>14</v>
      </c>
      <c r="P1" s="4" t="s">
        <v>40</v>
      </c>
      <c r="Q1" s="9" t="s">
        <v>34</v>
      </c>
      <c r="R1" s="9" t="s">
        <v>16</v>
      </c>
      <c r="S1" s="9" t="s">
        <v>33</v>
      </c>
      <c r="T1" s="9" t="s">
        <v>35</v>
      </c>
      <c r="U1" t="s">
        <v>2</v>
      </c>
    </row>
    <row r="2" spans="1:21" x14ac:dyDescent="0.3">
      <c r="A2" s="1">
        <v>1000</v>
      </c>
      <c r="B2" s="2" t="s">
        <v>241</v>
      </c>
      <c r="C2" s="2" t="s">
        <v>431</v>
      </c>
      <c r="D2" s="6" t="s">
        <v>470</v>
      </c>
      <c r="E2" s="1">
        <v>1</v>
      </c>
      <c r="F2" s="8">
        <v>363.67</v>
      </c>
      <c r="G2" s="8">
        <v>325.14999999999998</v>
      </c>
      <c r="H2" s="8">
        <f>fact_anuncios[[#This Row],[preco_unit]]*fact_anuncios[[#This Row],[quantidade_anuncio]]</f>
        <v>363.67</v>
      </c>
      <c r="I2" s="1">
        <v>1E-4</v>
      </c>
      <c r="J2" s="8">
        <f>fact_anuncios[[#This Row],[preco_min_unit]]*fact_anuncios[[#This Row],[quantidade_anuncio]]</f>
        <v>325.14999999999998</v>
      </c>
      <c r="K2" s="1" t="s">
        <v>19</v>
      </c>
      <c r="L2" s="1">
        <v>0.11</v>
      </c>
      <c r="M2" s="9">
        <f>fact_anuncios[[#This Row],[preco_sugerido]]*fact_anuncios[[#This Row],[perc_comissao]]</f>
        <v>48.594528578407413</v>
      </c>
      <c r="N2" s="9">
        <v>39.75</v>
      </c>
      <c r="O2" s="4">
        <v>0.08</v>
      </c>
      <c r="P2" s="9">
        <f>fact_anuncios[[#This Row],[valor_tipo]]+fact_anuncios[[#This Row],[frete]]</f>
        <v>88.34452857840742</v>
      </c>
      <c r="Q2" s="9">
        <f>(fact_anuncios[[#This Row],[valor_tipo]]+fact_anuncios[[#This Row],[frete]])*(1+fact_anuncios[[#This Row],[markup_promo]])</f>
        <v>95.412090864680025</v>
      </c>
      <c r="R2" s="9">
        <f>((fact_anuncios[[#This Row],[valor_min_produto]] / (1-fact_anuncios[[#This Row],[markup_promo]])) +fact_anuncios[[#This Row],[frete]]) / (1 - fact_anuncios[[#This Row],[perc_comissao]])</f>
        <v>441.76844162188559</v>
      </c>
      <c r="S2" s="9">
        <f>(fact_anuncios[[#This Row],[valor_min_produto]] + fact_anuncios[[#This Row],[frete]]) / (1 - fact_anuncios[[#This Row],[perc_comissao]])</f>
        <v>409.99999999999994</v>
      </c>
      <c r="T2" s="9">
        <f>fact_anuncios[[#This Row],[atacado_1]] * 1.0254</f>
        <v>420.41399999999999</v>
      </c>
      <c r="U2" s="1" t="s">
        <v>6</v>
      </c>
    </row>
    <row r="3" spans="1:21" x14ac:dyDescent="0.3">
      <c r="A3" s="1">
        <v>1000</v>
      </c>
      <c r="B3" s="2" t="s">
        <v>242</v>
      </c>
      <c r="C3" s="2" t="s">
        <v>313</v>
      </c>
      <c r="D3" s="6" t="s">
        <v>470</v>
      </c>
      <c r="E3" s="1">
        <v>1</v>
      </c>
      <c r="F3" s="8">
        <v>363.67</v>
      </c>
      <c r="G3" s="8">
        <v>325.14999999999998</v>
      </c>
      <c r="H3" s="8">
        <f>fact_anuncios[[#This Row],[preco_unit]]*fact_anuncios[[#This Row],[quantidade_anuncio]]</f>
        <v>363.67</v>
      </c>
      <c r="I3" s="1">
        <v>1E-4</v>
      </c>
      <c r="J3" s="8">
        <f>fact_anuncios[[#This Row],[preco_min_unit]]*fact_anuncios[[#This Row],[quantidade_anuncio]]</f>
        <v>325.14999999999998</v>
      </c>
      <c r="K3" s="1" t="s">
        <v>19</v>
      </c>
      <c r="L3" s="1">
        <v>0.11</v>
      </c>
      <c r="M3" s="9">
        <f>fact_anuncios[[#This Row],[preco_sugerido]]*fact_anuncios[[#This Row],[perc_comissao]]</f>
        <v>46.468685881778207</v>
      </c>
      <c r="N3" s="9">
        <v>22.55</v>
      </c>
      <c r="O3" s="4">
        <v>0.08</v>
      </c>
      <c r="P3" s="9">
        <f>fact_anuncios[[#This Row],[valor_tipo]]+fact_anuncios[[#This Row],[frete]]</f>
        <v>69.018685881778211</v>
      </c>
      <c r="Q3" s="9">
        <f>(fact_anuncios[[#This Row],[valor_tipo]]+fact_anuncios[[#This Row],[frete]])*(1+fact_anuncios[[#This Row],[markup_promo]])</f>
        <v>74.540180752320467</v>
      </c>
      <c r="R3" s="9">
        <f>((fact_anuncios[[#This Row],[valor_min_produto]] / (1-fact_anuncios[[#This Row],[markup_promo]])) +fact_anuncios[[#This Row],[frete]]) / (1 - fact_anuncios[[#This Row],[perc_comissao]])</f>
        <v>422.44259892525639</v>
      </c>
      <c r="S3" s="9">
        <f>(fact_anuncios[[#This Row],[valor_min_produto]] + fact_anuncios[[#This Row],[frete]]) / (1 - fact_anuncios[[#This Row],[perc_comissao]])</f>
        <v>390.67415730337075</v>
      </c>
      <c r="T3" s="9">
        <f>fact_anuncios[[#This Row],[atacado_1]] * 1.0254</f>
        <v>400.59728089887642</v>
      </c>
      <c r="U3" s="1" t="s">
        <v>6</v>
      </c>
    </row>
    <row r="4" spans="1:21" x14ac:dyDescent="0.3">
      <c r="A4" s="1">
        <v>1000</v>
      </c>
      <c r="B4" s="2" t="s">
        <v>243</v>
      </c>
      <c r="C4" s="2" t="s">
        <v>314</v>
      </c>
      <c r="D4" s="6" t="s">
        <v>470</v>
      </c>
      <c r="E4" s="1">
        <v>1</v>
      </c>
      <c r="F4" s="8">
        <v>363.67</v>
      </c>
      <c r="G4" s="8">
        <v>325.14999999999998</v>
      </c>
      <c r="H4" s="8">
        <f>fact_anuncios[[#This Row],[preco_unit]]*fact_anuncios[[#This Row],[quantidade_anuncio]]</f>
        <v>363.67</v>
      </c>
      <c r="I4" s="1">
        <v>1E-4</v>
      </c>
      <c r="J4" s="8">
        <f>fact_anuncios[[#This Row],[preco_min_unit]]*fact_anuncios[[#This Row],[quantidade_anuncio]]</f>
        <v>325.14999999999998</v>
      </c>
      <c r="K4" s="1" t="s">
        <v>18</v>
      </c>
      <c r="L4" s="1">
        <v>0.14000000000000001</v>
      </c>
      <c r="M4" s="9">
        <f>fact_anuncios[[#This Row],[preco_sugerido]]*fact_anuncios[[#This Row],[perc_comissao]]</f>
        <v>64.00505561172902</v>
      </c>
      <c r="N4" s="9">
        <v>39.75</v>
      </c>
      <c r="O4" s="4">
        <v>0.08</v>
      </c>
      <c r="P4" s="9">
        <f>fact_anuncios[[#This Row],[valor_tipo]]+fact_anuncios[[#This Row],[frete]]</f>
        <v>103.75505561172902</v>
      </c>
      <c r="Q4" s="9">
        <f>(fact_anuncios[[#This Row],[valor_tipo]]+fact_anuncios[[#This Row],[frete]])*(1+fact_anuncios[[#This Row],[markup_promo]])</f>
        <v>112.05546006066734</v>
      </c>
      <c r="R4" s="9">
        <f>((fact_anuncios[[#This Row],[valor_min_produto]] / (1-fact_anuncios[[#This Row],[markup_promo]])) +fact_anuncios[[#This Row],[frete]]) / (1 - fact_anuncios[[#This Row],[perc_comissao]])</f>
        <v>457.1789686552072</v>
      </c>
      <c r="S4" s="9">
        <f>(fact_anuncios[[#This Row],[valor_min_produto]] + fact_anuncios[[#This Row],[frete]]) / (1 - fact_anuncios[[#This Row],[perc_comissao]])</f>
        <v>424.30232558139534</v>
      </c>
      <c r="T4" s="9">
        <f>fact_anuncios[[#This Row],[atacado_1]] * 1.0254</f>
        <v>435.07960465116281</v>
      </c>
      <c r="U4" s="1" t="s">
        <v>6</v>
      </c>
    </row>
    <row r="5" spans="1:21" x14ac:dyDescent="0.3">
      <c r="A5" s="1">
        <v>1000</v>
      </c>
      <c r="B5" s="2" t="s">
        <v>244</v>
      </c>
      <c r="C5" s="2" t="s">
        <v>315</v>
      </c>
      <c r="D5" s="6" t="s">
        <v>470</v>
      </c>
      <c r="E5" s="1">
        <v>1</v>
      </c>
      <c r="F5" s="8">
        <v>363.67</v>
      </c>
      <c r="G5" s="8">
        <v>325.14999999999998</v>
      </c>
      <c r="H5" s="8">
        <f>fact_anuncios[[#This Row],[preco_unit]]*fact_anuncios[[#This Row],[quantidade_anuncio]]</f>
        <v>363.67</v>
      </c>
      <c r="I5" s="1">
        <v>1E-4</v>
      </c>
      <c r="J5" s="8">
        <f>fact_anuncios[[#This Row],[preco_min_unit]]*fact_anuncios[[#This Row],[quantidade_anuncio]]</f>
        <v>325.14999999999998</v>
      </c>
      <c r="K5" s="1" t="s">
        <v>18</v>
      </c>
      <c r="L5" s="1">
        <v>0.14000000000000001</v>
      </c>
      <c r="M5" s="9">
        <f>fact_anuncios[[#This Row],[preco_sugerido]]*fact_anuncios[[#This Row],[perc_comissao]]</f>
        <v>64.00505561172902</v>
      </c>
      <c r="N5" s="9">
        <v>39.75</v>
      </c>
      <c r="O5" s="4">
        <v>0.08</v>
      </c>
      <c r="P5" s="9">
        <f>fact_anuncios[[#This Row],[valor_tipo]]+fact_anuncios[[#This Row],[frete]]</f>
        <v>103.75505561172902</v>
      </c>
      <c r="Q5" s="9">
        <f>(fact_anuncios[[#This Row],[valor_tipo]]+fact_anuncios[[#This Row],[frete]])*(1+fact_anuncios[[#This Row],[markup_promo]])</f>
        <v>112.05546006066734</v>
      </c>
      <c r="R5" s="9">
        <f>((fact_anuncios[[#This Row],[valor_min_produto]] / (1-fact_anuncios[[#This Row],[markup_promo]])) +fact_anuncios[[#This Row],[frete]]) / (1 - fact_anuncios[[#This Row],[perc_comissao]])</f>
        <v>457.1789686552072</v>
      </c>
      <c r="S5" s="9">
        <f>(fact_anuncios[[#This Row],[valor_min_produto]] + fact_anuncios[[#This Row],[frete]]) / (1 - fact_anuncios[[#This Row],[perc_comissao]])</f>
        <v>424.30232558139534</v>
      </c>
      <c r="T5" s="9">
        <f>fact_anuncios[[#This Row],[atacado_1]] * 1.0254</f>
        <v>435.07960465116281</v>
      </c>
      <c r="U5" s="1" t="s">
        <v>6</v>
      </c>
    </row>
    <row r="6" spans="1:21" x14ac:dyDescent="0.3">
      <c r="A6" s="1">
        <v>1001</v>
      </c>
      <c r="B6" s="2" t="s">
        <v>172</v>
      </c>
      <c r="C6" s="2" t="s">
        <v>316</v>
      </c>
      <c r="D6" s="6" t="s">
        <v>522</v>
      </c>
      <c r="E6" s="1">
        <v>2</v>
      </c>
      <c r="F6" s="8">
        <v>42.104700000000001</v>
      </c>
      <c r="G6" s="8">
        <f>fact_anuncios[[#This Row],[preco_unit]]*(1-fact_anuncios[[#This Row],[perc_desconto_min]])</f>
        <v>39.367894500000006</v>
      </c>
      <c r="H6" s="8">
        <f>fact_anuncios[[#This Row],[preco_unit]]*fact_anuncios[[#This Row],[quantidade_anuncio]]</f>
        <v>84.209400000000002</v>
      </c>
      <c r="I6" s="1">
        <v>6.5000000000000002E-2</v>
      </c>
      <c r="J6" s="8">
        <f>fact_anuncios[[#This Row],[preco_min_unit]]*fact_anuncios[[#This Row],[quantidade_anuncio]]</f>
        <v>78.735789000000011</v>
      </c>
      <c r="K6" s="1" t="s">
        <v>19</v>
      </c>
      <c r="L6" s="1">
        <v>0.12</v>
      </c>
      <c r="M6" s="9">
        <f>fact_anuncios[[#This Row],[preco_sugerido]]*fact_anuncios[[#This Row],[perc_comissao]]</f>
        <v>13.913506274703559</v>
      </c>
      <c r="N6" s="9">
        <v>16.45</v>
      </c>
      <c r="O6" s="4">
        <v>0.08</v>
      </c>
      <c r="P6" s="9">
        <f>fact_anuncios[[#This Row],[valor_tipo]]+fact_anuncios[[#This Row],[frete]]</f>
        <v>30.36350627470356</v>
      </c>
      <c r="Q6" s="9">
        <f>(fact_anuncios[[#This Row],[valor_tipo]]+fact_anuncios[[#This Row],[frete]])*(1+fact_anuncios[[#This Row],[markup_promo]])</f>
        <v>32.792586776679848</v>
      </c>
      <c r="R6" s="9">
        <f>((fact_anuncios[[#This Row],[valor_min_produto]] / (1-fact_anuncios[[#This Row],[markup_promo]])) +fact_anuncios[[#This Row],[frete]]) / (1 - fact_anuncios[[#This Row],[perc_comissao]])</f>
        <v>115.94588562252966</v>
      </c>
      <c r="S6" s="9">
        <f>(fact_anuncios[[#This Row],[valor_min_produto]] + fact_anuncios[[#This Row],[frete]]) / (1 - fact_anuncios[[#This Row],[perc_comissao]])</f>
        <v>108.16566931818183</v>
      </c>
      <c r="T6" s="9">
        <f>fact_anuncios[[#This Row],[atacado_1]] * 1.0254</f>
        <v>110.91307731886366</v>
      </c>
      <c r="U6" s="1" t="s">
        <v>20</v>
      </c>
    </row>
    <row r="7" spans="1:21" x14ac:dyDescent="0.3">
      <c r="A7" s="1">
        <v>1001</v>
      </c>
      <c r="B7" s="2" t="s">
        <v>173</v>
      </c>
      <c r="C7" s="2" t="s">
        <v>317</v>
      </c>
      <c r="D7" s="6" t="s">
        <v>522</v>
      </c>
      <c r="E7" s="1">
        <v>2</v>
      </c>
      <c r="F7" s="8">
        <v>42.104700000000001</v>
      </c>
      <c r="G7" s="8">
        <f>fact_anuncios[[#This Row],[preco_unit]]*(1-fact_anuncios[[#This Row],[perc_desconto_min]])</f>
        <v>39.367894500000006</v>
      </c>
      <c r="H7" s="8">
        <f>fact_anuncios[[#This Row],[preco_unit]]*fact_anuncios[[#This Row],[quantidade_anuncio]]</f>
        <v>84.209400000000002</v>
      </c>
      <c r="I7" s="1">
        <v>6.5000000000000002E-2</v>
      </c>
      <c r="J7" s="8">
        <f>fact_anuncios[[#This Row],[preco_min_unit]]*fact_anuncios[[#This Row],[quantidade_anuncio]]</f>
        <v>78.735789000000011</v>
      </c>
      <c r="K7" s="1" t="s">
        <v>18</v>
      </c>
      <c r="L7" s="1">
        <v>0.14000000000000001</v>
      </c>
      <c r="M7" s="9">
        <f>fact_anuncios[[#This Row],[preco_sugerido]]*fact_anuncios[[#This Row],[perc_comissao]]</f>
        <v>16.935503614762389</v>
      </c>
      <c r="N7" s="9">
        <v>18.45</v>
      </c>
      <c r="O7" s="4">
        <v>0.08</v>
      </c>
      <c r="P7" s="9">
        <f>fact_anuncios[[#This Row],[valor_tipo]]+fact_anuncios[[#This Row],[frete]]</f>
        <v>35.385503614762385</v>
      </c>
      <c r="Q7" s="9">
        <f>(fact_anuncios[[#This Row],[valor_tipo]]+fact_anuncios[[#This Row],[frete]])*(1+fact_anuncios[[#This Row],[markup_promo]])</f>
        <v>38.216343903943375</v>
      </c>
      <c r="R7" s="9">
        <f>((fact_anuncios[[#This Row],[valor_min_produto]] / (1-fact_anuncios[[#This Row],[markup_promo]])) +fact_anuncios[[#This Row],[frete]]) / (1 - fact_anuncios[[#This Row],[perc_comissao]])</f>
        <v>120.96788296258849</v>
      </c>
      <c r="S7" s="9">
        <f>(fact_anuncios[[#This Row],[valor_min_produto]] + fact_anuncios[[#This Row],[frete]]) / (1 - fact_anuncios[[#This Row],[perc_comissao]])</f>
        <v>113.00673139534885</v>
      </c>
      <c r="T7" s="9">
        <f>fact_anuncios[[#This Row],[atacado_1]] * 1.0254</f>
        <v>115.87710237279072</v>
      </c>
      <c r="U7" s="1" t="s">
        <v>20</v>
      </c>
    </row>
    <row r="8" spans="1:21" x14ac:dyDescent="0.3">
      <c r="A8" s="1">
        <v>1003</v>
      </c>
      <c r="B8" s="2" t="s">
        <v>143</v>
      </c>
      <c r="C8" s="2" t="s">
        <v>304</v>
      </c>
      <c r="D8" s="7" t="s">
        <v>471</v>
      </c>
      <c r="E8" s="1">
        <v>40</v>
      </c>
      <c r="F8" s="8">
        <v>2.2444000000000002</v>
      </c>
      <c r="G8" s="8">
        <f>fact_anuncios[[#This Row],[preco_unit]]*(1-fact_anuncios[[#This Row],[perc_desconto_min]])</f>
        <v>2.0872920000000001</v>
      </c>
      <c r="H8" s="8">
        <f>fact_anuncios[[#This Row],[preco_unit]]*fact_anuncios[[#This Row],[quantidade_anuncio]]</f>
        <v>89.77600000000001</v>
      </c>
      <c r="I8" s="1">
        <v>7.0000000000000007E-2</v>
      </c>
      <c r="J8" s="8">
        <f>fact_anuncios[[#This Row],[preco_min_unit]]*fact_anuncios[[#This Row],[quantidade_anuncio]]</f>
        <v>83.491680000000002</v>
      </c>
      <c r="K8" s="1" t="s">
        <v>18</v>
      </c>
      <c r="L8" s="1">
        <v>0.17</v>
      </c>
      <c r="M8" s="9">
        <f>fact_anuncios[[#This Row],[preco_sugerido]]*fact_anuncios[[#This Row],[perc_comissao]]</f>
        <v>22.837723415400738</v>
      </c>
      <c r="N8" s="9">
        <v>20.75</v>
      </c>
      <c r="O8" s="4">
        <v>0.08</v>
      </c>
      <c r="P8" s="9">
        <f>fact_anuncios[[#This Row],[valor_tipo]]+fact_anuncios[[#This Row],[frete]]</f>
        <v>43.587723415400738</v>
      </c>
      <c r="Q8" s="9">
        <f>(fact_anuncios[[#This Row],[valor_tipo]]+fact_anuncios[[#This Row],[frete]])*(1+fact_anuncios[[#This Row],[markup_promo]])</f>
        <v>47.074741288632801</v>
      </c>
      <c r="R8" s="9">
        <f>((fact_anuncios[[#This Row],[valor_min_produto]] / (1-fact_anuncios[[#This Row],[markup_promo]])) +fact_anuncios[[#This Row],[frete]]) / (1 - fact_anuncios[[#This Row],[perc_comissao]])</f>
        <v>134.33954950235727</v>
      </c>
      <c r="S8" s="9">
        <f>(fact_anuncios[[#This Row],[valor_min_produto]] + fact_anuncios[[#This Row],[frete]]) / (1 - fact_anuncios[[#This Row],[perc_comissao]])</f>
        <v>125.59238554216869</v>
      </c>
      <c r="T8" s="9">
        <f>fact_anuncios[[#This Row],[atacado_1]] * 1.0254</f>
        <v>128.78243213493977</v>
      </c>
      <c r="U8" s="1" t="s">
        <v>8</v>
      </c>
    </row>
    <row r="9" spans="1:21" x14ac:dyDescent="0.3">
      <c r="A9" s="1">
        <v>1003</v>
      </c>
      <c r="B9" s="2" t="s">
        <v>144</v>
      </c>
      <c r="C9" s="2" t="s">
        <v>305</v>
      </c>
      <c r="D9" s="7" t="s">
        <v>471</v>
      </c>
      <c r="E9" s="1">
        <v>100</v>
      </c>
      <c r="F9" s="8">
        <v>2.2444000000000002</v>
      </c>
      <c r="G9" s="8">
        <f>fact_anuncios[[#This Row],[preco_unit]]*(1-fact_anuncios[[#This Row],[perc_desconto_min]])</f>
        <v>2.0872920000000001</v>
      </c>
      <c r="H9" s="8">
        <f>fact_anuncios[[#This Row],[preco_unit]]*fact_anuncios[[#This Row],[quantidade_anuncio]]</f>
        <v>224.44000000000003</v>
      </c>
      <c r="I9" s="1">
        <v>7.0000000000000007E-2</v>
      </c>
      <c r="J9" s="8">
        <f>fact_anuncios[[#This Row],[preco_min_unit]]*fact_anuncios[[#This Row],[quantidade_anuncio]]</f>
        <v>208.72920000000002</v>
      </c>
      <c r="K9" s="1" t="s">
        <v>18</v>
      </c>
      <c r="L9" s="1">
        <v>0.17</v>
      </c>
      <c r="M9" s="9">
        <f>fact_anuncios[[#This Row],[preco_sugerido]]*fact_anuncios[[#This Row],[perc_comissao]]</f>
        <v>51.518103719224733</v>
      </c>
      <c r="N9" s="9">
        <v>24.65</v>
      </c>
      <c r="O9" s="4">
        <v>0.08</v>
      </c>
      <c r="P9" s="9">
        <f>fact_anuncios[[#This Row],[valor_tipo]]+fact_anuncios[[#This Row],[frete]]</f>
        <v>76.168103719224732</v>
      </c>
      <c r="Q9" s="9">
        <f>(fact_anuncios[[#This Row],[valor_tipo]]+fact_anuncios[[#This Row],[frete]])*(1+fact_anuncios[[#This Row],[markup_promo]])</f>
        <v>82.261552016762721</v>
      </c>
      <c r="R9" s="9">
        <f>((fact_anuncios[[#This Row],[valor_min_produto]] / (1-fact_anuncios[[#This Row],[markup_promo]])) +fact_anuncios[[#This Row],[frete]]) / (1 - fact_anuncios[[#This Row],[perc_comissao]])</f>
        <v>303.04766893661605</v>
      </c>
      <c r="S9" s="9">
        <f>(fact_anuncios[[#This Row],[valor_min_produto]] + fact_anuncios[[#This Row],[frete]]) / (1 - fact_anuncios[[#This Row],[perc_comissao]])</f>
        <v>281.17975903614462</v>
      </c>
      <c r="T9" s="9">
        <f>fact_anuncios[[#This Row],[atacado_1]] * 1.0254</f>
        <v>288.32172491566274</v>
      </c>
      <c r="U9" s="1" t="s">
        <v>8</v>
      </c>
    </row>
    <row r="10" spans="1:21" x14ac:dyDescent="0.3">
      <c r="A10" s="1">
        <v>1003</v>
      </c>
      <c r="B10" s="2" t="s">
        <v>145</v>
      </c>
      <c r="C10" s="2" t="s">
        <v>306</v>
      </c>
      <c r="D10" s="7" t="s">
        <v>471</v>
      </c>
      <c r="E10" s="1">
        <v>10</v>
      </c>
      <c r="F10" s="8">
        <v>2.2444000000000002</v>
      </c>
      <c r="G10" s="8">
        <f>fact_anuncios[[#This Row],[preco_unit]]*(1-fact_anuncios[[#This Row],[perc_desconto_min]])</f>
        <v>2.0872920000000001</v>
      </c>
      <c r="H10" s="8">
        <f>fact_anuncios[[#This Row],[preco_unit]]*fact_anuncios[[#This Row],[quantidade_anuncio]]</f>
        <v>22.444000000000003</v>
      </c>
      <c r="I10" s="1">
        <v>7.0000000000000007E-2</v>
      </c>
      <c r="J10" s="8">
        <f>fact_anuncios[[#This Row],[preco_min_unit]]*fact_anuncios[[#This Row],[quantidade_anuncio]]</f>
        <v>20.872920000000001</v>
      </c>
      <c r="K10" s="1" t="s">
        <v>18</v>
      </c>
      <c r="L10" s="1">
        <v>0.17</v>
      </c>
      <c r="M10" s="9">
        <f>fact_anuncios[[#This Row],[preco_sugerido]]*fact_anuncios[[#This Row],[perc_comissao]]</f>
        <v>5.9884971189104252</v>
      </c>
      <c r="N10" s="9">
        <v>6.55</v>
      </c>
      <c r="O10" s="4">
        <v>0.08</v>
      </c>
      <c r="P10" s="9">
        <f>fact_anuncios[[#This Row],[valor_tipo]]+fact_anuncios[[#This Row],[frete]]</f>
        <v>12.538497118910424</v>
      </c>
      <c r="Q10" s="9">
        <f>(fact_anuncios[[#This Row],[valor_tipo]]+fact_anuncios[[#This Row],[frete]])*(1+fact_anuncios[[#This Row],[markup_promo]])</f>
        <v>13.541576888423259</v>
      </c>
      <c r="R10" s="9">
        <f>((fact_anuncios[[#This Row],[valor_min_produto]] / (1-fact_anuncios[[#This Row],[markup_promo]])) +fact_anuncios[[#This Row],[frete]]) / (1 - fact_anuncios[[#This Row],[perc_comissao]])</f>
        <v>35.226453640649559</v>
      </c>
      <c r="S10" s="9">
        <f>(fact_anuncios[[#This Row],[valor_min_produto]] + fact_anuncios[[#This Row],[frete]]) / (1 - fact_anuncios[[#This Row],[perc_comissao]])</f>
        <v>33.039662650602416</v>
      </c>
      <c r="T10" s="9">
        <f>fact_anuncios[[#This Row],[atacado_1]] * 1.0254</f>
        <v>33.878870081927722</v>
      </c>
      <c r="U10" s="1" t="s">
        <v>8</v>
      </c>
    </row>
    <row r="11" spans="1:21" x14ac:dyDescent="0.3">
      <c r="A11" s="1">
        <v>1003</v>
      </c>
      <c r="B11" s="2" t="s">
        <v>146</v>
      </c>
      <c r="C11" s="2" t="s">
        <v>307</v>
      </c>
      <c r="D11" s="7" t="s">
        <v>471</v>
      </c>
      <c r="E11" s="1">
        <v>20</v>
      </c>
      <c r="F11" s="8">
        <v>2.2444000000000002</v>
      </c>
      <c r="G11" s="8">
        <f>fact_anuncios[[#This Row],[preco_unit]]*(1-fact_anuncios[[#This Row],[perc_desconto_min]])</f>
        <v>2.0872920000000001</v>
      </c>
      <c r="H11" s="8">
        <f>fact_anuncios[[#This Row],[preco_unit]]*fact_anuncios[[#This Row],[quantidade_anuncio]]</f>
        <v>44.888000000000005</v>
      </c>
      <c r="I11" s="1">
        <v>7.0000000000000007E-2</v>
      </c>
      <c r="J11" s="8">
        <f>fact_anuncios[[#This Row],[preco_min_unit]]*fact_anuncios[[#This Row],[quantidade_anuncio]]</f>
        <v>41.745840000000001</v>
      </c>
      <c r="K11" s="1" t="s">
        <v>18</v>
      </c>
      <c r="L11" s="1">
        <v>0.17</v>
      </c>
      <c r="M11" s="9">
        <f>fact_anuncios[[#This Row],[preco_sugerido]]*fact_anuncios[[#This Row],[perc_comissao]]</f>
        <v>11.823379779989526</v>
      </c>
      <c r="N11" s="9">
        <v>12.35</v>
      </c>
      <c r="O11" s="4">
        <v>0.08</v>
      </c>
      <c r="P11" s="9">
        <f>fact_anuncios[[#This Row],[valor_tipo]]+fact_anuncios[[#This Row],[frete]]</f>
        <v>24.173379779989524</v>
      </c>
      <c r="Q11" s="9">
        <f>(fact_anuncios[[#This Row],[valor_tipo]]+fact_anuncios[[#This Row],[frete]])*(1+fact_anuncios[[#This Row],[markup_promo]])</f>
        <v>26.107250162388688</v>
      </c>
      <c r="R11" s="9">
        <f>((fact_anuncios[[#This Row],[valor_min_produto]] / (1-fact_anuncios[[#This Row],[markup_promo]])) +fact_anuncios[[#This Row],[frete]]) / (1 - fact_anuncios[[#This Row],[perc_comissao]])</f>
        <v>69.549292823467795</v>
      </c>
      <c r="S11" s="9">
        <f>(fact_anuncios[[#This Row],[valor_min_produto]] + fact_anuncios[[#This Row],[frete]]) / (1 - fact_anuncios[[#This Row],[perc_comissao]])</f>
        <v>65.175710843373494</v>
      </c>
      <c r="T11" s="9">
        <f>fact_anuncios[[#This Row],[atacado_1]] * 1.0254</f>
        <v>66.831173898795186</v>
      </c>
      <c r="U11" s="1" t="s">
        <v>8</v>
      </c>
    </row>
    <row r="12" spans="1:21" x14ac:dyDescent="0.3">
      <c r="A12" s="1">
        <v>1003</v>
      </c>
      <c r="B12" s="2" t="s">
        <v>147</v>
      </c>
      <c r="C12" s="2" t="s">
        <v>308</v>
      </c>
      <c r="D12" s="7" t="s">
        <v>471</v>
      </c>
      <c r="E12" s="1">
        <v>30</v>
      </c>
      <c r="F12" s="8">
        <v>2.2444000000000002</v>
      </c>
      <c r="G12" s="8">
        <f>fact_anuncios[[#This Row],[preco_unit]]*(1-fact_anuncios[[#This Row],[perc_desconto_min]])</f>
        <v>2.0872920000000001</v>
      </c>
      <c r="H12" s="8">
        <f>fact_anuncios[[#This Row],[preco_unit]]*fact_anuncios[[#This Row],[quantidade_anuncio]]</f>
        <v>67.332000000000008</v>
      </c>
      <c r="I12" s="1">
        <v>7.0000000000000007E-2</v>
      </c>
      <c r="J12" s="8">
        <f>fact_anuncios[[#This Row],[preco_min_unit]]*fact_anuncios[[#This Row],[quantidade_anuncio]]</f>
        <v>62.618760000000002</v>
      </c>
      <c r="K12" s="1" t="s">
        <v>18</v>
      </c>
      <c r="L12" s="1">
        <v>0.17</v>
      </c>
      <c r="M12" s="9">
        <f>fact_anuncios[[#This Row],[preco_sugerido]]*fact_anuncios[[#This Row],[perc_comissao]]</f>
        <v>17.555852802514405</v>
      </c>
      <c r="N12" s="9">
        <v>17.649999999999999</v>
      </c>
      <c r="O12" s="4">
        <v>0.08</v>
      </c>
      <c r="P12" s="9">
        <f>fact_anuncios[[#This Row],[valor_tipo]]+fact_anuncios[[#This Row],[frete]]</f>
        <v>35.2058528025144</v>
      </c>
      <c r="Q12" s="9">
        <f>(fact_anuncios[[#This Row],[valor_tipo]]+fact_anuncios[[#This Row],[frete]])*(1+fact_anuncios[[#This Row],[markup_promo]])</f>
        <v>38.022321026715552</v>
      </c>
      <c r="R12" s="9">
        <f>((fact_anuncios[[#This Row],[valor_min_produto]] / (1-fact_anuncios[[#This Row],[markup_promo]])) +fact_anuncios[[#This Row],[frete]]) / (1 - fact_anuncios[[#This Row],[perc_comissao]])</f>
        <v>103.26972236773179</v>
      </c>
      <c r="S12" s="9">
        <f>(fact_anuncios[[#This Row],[valor_min_produto]] + fact_anuncios[[#This Row],[frete]]) / (1 - fact_anuncios[[#This Row],[perc_comissao]])</f>
        <v>96.709349397590373</v>
      </c>
      <c r="T12" s="9">
        <f>fact_anuncios[[#This Row],[atacado_1]] * 1.0254</f>
        <v>99.165766872289183</v>
      </c>
      <c r="U12" s="1" t="s">
        <v>8</v>
      </c>
    </row>
    <row r="13" spans="1:21" x14ac:dyDescent="0.3">
      <c r="A13" s="1">
        <v>1003</v>
      </c>
      <c r="B13" s="2" t="s">
        <v>148</v>
      </c>
      <c r="C13" s="2" t="s">
        <v>309</v>
      </c>
      <c r="D13" s="7" t="s">
        <v>471</v>
      </c>
      <c r="E13" s="1">
        <v>50</v>
      </c>
      <c r="F13" s="8">
        <v>2.2444000000000002</v>
      </c>
      <c r="G13" s="8">
        <f>fact_anuncios[[#This Row],[preco_unit]]*(1-fact_anuncios[[#This Row],[perc_desconto_min]])</f>
        <v>2.0872920000000001</v>
      </c>
      <c r="H13" s="8">
        <f>fact_anuncios[[#This Row],[preco_unit]]*fact_anuncios[[#This Row],[quantidade_anuncio]]</f>
        <v>112.22000000000001</v>
      </c>
      <c r="I13" s="1">
        <v>7.0000000000000007E-2</v>
      </c>
      <c r="J13" s="8">
        <f>fact_anuncios[[#This Row],[preco_min_unit]]*fact_anuncios[[#This Row],[quantidade_anuncio]]</f>
        <v>104.36460000000001</v>
      </c>
      <c r="K13" s="1" t="s">
        <v>18</v>
      </c>
      <c r="L13" s="1">
        <v>0.17</v>
      </c>
      <c r="M13" s="9">
        <f>fact_anuncios[[#This Row],[preco_sugerido]]*fact_anuncios[[#This Row],[perc_comissao]]</f>
        <v>28.078630172865381</v>
      </c>
      <c r="N13" s="9">
        <v>23.65</v>
      </c>
      <c r="O13" s="4">
        <v>0.08</v>
      </c>
      <c r="P13" s="9">
        <f>fact_anuncios[[#This Row],[valor_tipo]]+fact_anuncios[[#This Row],[frete]]</f>
        <v>51.72863017286538</v>
      </c>
      <c r="Q13" s="9">
        <f>(fact_anuncios[[#This Row],[valor_tipo]]+fact_anuncios[[#This Row],[frete]])*(1+fact_anuncios[[#This Row],[markup_promo]])</f>
        <v>55.866920586694611</v>
      </c>
      <c r="R13" s="9">
        <f>((fact_anuncios[[#This Row],[valor_min_produto]] / (1-fact_anuncios[[#This Row],[markup_promo]])) +fact_anuncios[[#This Row],[frete]]) / (1 - fact_anuncios[[#This Row],[perc_comissao]])</f>
        <v>165.16841278156105</v>
      </c>
      <c r="S13" s="9">
        <f>(fact_anuncios[[#This Row],[valor_min_produto]] + fact_anuncios[[#This Row],[frete]]) / (1 - fact_anuncios[[#This Row],[perc_comissao]])</f>
        <v>154.2344578313253</v>
      </c>
      <c r="T13" s="9">
        <f>fact_anuncios[[#This Row],[atacado_1]] * 1.0254</f>
        <v>158.15201306024099</v>
      </c>
      <c r="U13" s="1" t="s">
        <v>8</v>
      </c>
    </row>
    <row r="14" spans="1:21" x14ac:dyDescent="0.3">
      <c r="A14" s="1">
        <v>1004</v>
      </c>
      <c r="B14" s="2" t="s">
        <v>254</v>
      </c>
      <c r="C14" s="2" t="s">
        <v>432</v>
      </c>
      <c r="D14" s="6" t="s">
        <v>524</v>
      </c>
      <c r="E14" s="1">
        <v>1</v>
      </c>
      <c r="F14" s="8">
        <v>4746.72</v>
      </c>
      <c r="G14" s="8">
        <f>fact_anuncios[[#This Row],[preco_unit]]*(1-fact_anuncios[[#This Row],[perc_desconto_min]])</f>
        <v>4746.245328</v>
      </c>
      <c r="H14" s="8">
        <f>fact_anuncios[[#This Row],[preco_unit]]*fact_anuncios[[#This Row],[quantidade_anuncio]]</f>
        <v>4746.72</v>
      </c>
      <c r="I14" s="1">
        <v>1E-4</v>
      </c>
      <c r="J14" s="8">
        <f>fact_anuncios[[#This Row],[preco_min_unit]]*fact_anuncios[[#This Row],[quantidade_anuncio]]</f>
        <v>4746.245328</v>
      </c>
      <c r="K14" s="1" t="s">
        <v>18</v>
      </c>
      <c r="L14" s="1">
        <v>0.17</v>
      </c>
      <c r="M14" s="9">
        <f>fact_anuncios[[#This Row],[preco_sugerido]]*fact_anuncios[[#This Row],[perc_comissao]]</f>
        <v>1078.355533996857</v>
      </c>
      <c r="N14" s="9">
        <v>105.95</v>
      </c>
      <c r="O14" s="4">
        <v>0.08</v>
      </c>
      <c r="P14" s="9">
        <f>fact_anuncios[[#This Row],[valor_tipo]]+fact_anuncios[[#This Row],[frete]]</f>
        <v>1184.3055339968571</v>
      </c>
      <c r="Q14" s="9">
        <f>(fact_anuncios[[#This Row],[valor_tipo]]+fact_anuncios[[#This Row],[frete]])*(1+fact_anuncios[[#This Row],[markup_promo]])</f>
        <v>1279.0499767166057</v>
      </c>
      <c r="R14" s="9">
        <f>((fact_anuncios[[#This Row],[valor_min_produto]] / (1-fact_anuncios[[#This Row],[markup_promo]])) +fact_anuncios[[#This Row],[frete]]) / (1 - fact_anuncios[[#This Row],[perc_comissao]])</f>
        <v>6343.2678470403353</v>
      </c>
      <c r="S14" s="9">
        <f>(fact_anuncios[[#This Row],[valor_min_produto]] + fact_anuncios[[#This Row],[frete]]) / (1 - fact_anuncios[[#This Row],[perc_comissao]])</f>
        <v>5846.0184674698794</v>
      </c>
      <c r="T14" s="9">
        <f>fact_anuncios[[#This Row],[atacado_1]] * 1.0254</f>
        <v>5994.5073365436147</v>
      </c>
      <c r="U14" s="1" t="s">
        <v>6</v>
      </c>
    </row>
    <row r="15" spans="1:21" x14ac:dyDescent="0.3">
      <c r="A15" s="1">
        <v>1004</v>
      </c>
      <c r="B15" s="2" t="s">
        <v>255</v>
      </c>
      <c r="C15" s="2" t="s">
        <v>318</v>
      </c>
      <c r="D15" s="6" t="s">
        <v>524</v>
      </c>
      <c r="E15" s="1">
        <v>1</v>
      </c>
      <c r="F15" s="8">
        <v>4746.72</v>
      </c>
      <c r="G15" s="8">
        <f>fact_anuncios[[#This Row],[preco_unit]]*(1-fact_anuncios[[#This Row],[perc_desconto_min]])</f>
        <v>4746.245328</v>
      </c>
      <c r="H15" s="8">
        <f>fact_anuncios[[#This Row],[preco_unit]]*fact_anuncios[[#This Row],[quantidade_anuncio]]</f>
        <v>4746.72</v>
      </c>
      <c r="I15" s="1">
        <v>1E-4</v>
      </c>
      <c r="J15" s="8">
        <f>fact_anuncios[[#This Row],[preco_min_unit]]*fact_anuncios[[#This Row],[quantidade_anuncio]]</f>
        <v>4746.245328</v>
      </c>
      <c r="K15" s="1" t="s">
        <v>18</v>
      </c>
      <c r="L15" s="1">
        <v>0.17</v>
      </c>
      <c r="M15" s="9">
        <f>fact_anuncios[[#This Row],[preco_sugerido]]*fact_anuncios[[#This Row],[perc_comissao]]</f>
        <v>1078.355533996857</v>
      </c>
      <c r="N15" s="9">
        <v>105.95</v>
      </c>
      <c r="O15" s="4">
        <v>0.08</v>
      </c>
      <c r="P15" s="9">
        <f>fact_anuncios[[#This Row],[valor_tipo]]+fact_anuncios[[#This Row],[frete]]</f>
        <v>1184.3055339968571</v>
      </c>
      <c r="Q15" s="9">
        <f>(fact_anuncios[[#This Row],[valor_tipo]]+fact_anuncios[[#This Row],[frete]])*(1+fact_anuncios[[#This Row],[markup_promo]])</f>
        <v>1279.0499767166057</v>
      </c>
      <c r="R15" s="9">
        <f>((fact_anuncios[[#This Row],[valor_min_produto]] / (1-fact_anuncios[[#This Row],[markup_promo]])) +fact_anuncios[[#This Row],[frete]]) / (1 - fact_anuncios[[#This Row],[perc_comissao]])</f>
        <v>6343.2678470403353</v>
      </c>
      <c r="S15" s="9">
        <f>(fact_anuncios[[#This Row],[valor_min_produto]] + fact_anuncios[[#This Row],[frete]]) / (1 - fact_anuncios[[#This Row],[perc_comissao]])</f>
        <v>5846.0184674698794</v>
      </c>
      <c r="T15" s="9">
        <f>fact_anuncios[[#This Row],[atacado_1]] * 1.0254</f>
        <v>5994.5073365436147</v>
      </c>
      <c r="U15" s="1" t="s">
        <v>6</v>
      </c>
    </row>
    <row r="16" spans="1:21" x14ac:dyDescent="0.3">
      <c r="A16" s="1">
        <v>1004</v>
      </c>
      <c r="B16" s="2" t="s">
        <v>256</v>
      </c>
      <c r="C16" s="2" t="s">
        <v>319</v>
      </c>
      <c r="D16" s="6" t="s">
        <v>524</v>
      </c>
      <c r="E16" s="1">
        <v>1</v>
      </c>
      <c r="F16" s="8">
        <v>4746.72</v>
      </c>
      <c r="G16" s="8">
        <f>fact_anuncios[[#This Row],[preco_unit]]*(1-fact_anuncios[[#This Row],[perc_desconto_min]])</f>
        <v>4746.245328</v>
      </c>
      <c r="H16" s="8">
        <f>fact_anuncios[[#This Row],[preco_unit]]*fact_anuncios[[#This Row],[quantidade_anuncio]]</f>
        <v>4746.72</v>
      </c>
      <c r="I16" s="1">
        <v>1E-4</v>
      </c>
      <c r="J16" s="8">
        <f>fact_anuncios[[#This Row],[preco_min_unit]]*fact_anuncios[[#This Row],[quantidade_anuncio]]</f>
        <v>4746.245328</v>
      </c>
      <c r="K16" s="1" t="s">
        <v>18</v>
      </c>
      <c r="L16" s="1">
        <v>0.17</v>
      </c>
      <c r="M16" s="9">
        <f>fact_anuncios[[#This Row],[preco_sugerido]]*fact_anuncios[[#This Row],[perc_comissao]]</f>
        <v>1078.355533996857</v>
      </c>
      <c r="N16" s="9">
        <v>105.95</v>
      </c>
      <c r="O16" s="4">
        <v>0.08</v>
      </c>
      <c r="P16" s="9">
        <f>fact_anuncios[[#This Row],[valor_tipo]]+fact_anuncios[[#This Row],[frete]]</f>
        <v>1184.3055339968571</v>
      </c>
      <c r="Q16" s="9">
        <f>(fact_anuncios[[#This Row],[valor_tipo]]+fact_anuncios[[#This Row],[frete]])*(1+fact_anuncios[[#This Row],[markup_promo]])</f>
        <v>1279.0499767166057</v>
      </c>
      <c r="R16" s="9">
        <f>((fact_anuncios[[#This Row],[valor_min_produto]] / (1-fact_anuncios[[#This Row],[markup_promo]])) +fact_anuncios[[#This Row],[frete]]) / (1 - fact_anuncios[[#This Row],[perc_comissao]])</f>
        <v>6343.2678470403353</v>
      </c>
      <c r="S16" s="9">
        <f>(fact_anuncios[[#This Row],[valor_min_produto]] + fact_anuncios[[#This Row],[frete]]) / (1 - fact_anuncios[[#This Row],[perc_comissao]])</f>
        <v>5846.0184674698794</v>
      </c>
      <c r="T16" s="9">
        <f>fact_anuncios[[#This Row],[atacado_1]] * 1.0254</f>
        <v>5994.5073365436147</v>
      </c>
      <c r="U16" s="1" t="s">
        <v>6</v>
      </c>
    </row>
    <row r="17" spans="1:21" x14ac:dyDescent="0.3">
      <c r="A17" s="1">
        <v>1004</v>
      </c>
      <c r="B17" s="2" t="s">
        <v>257</v>
      </c>
      <c r="C17" s="2" t="s">
        <v>320</v>
      </c>
      <c r="D17" s="6" t="s">
        <v>524</v>
      </c>
      <c r="E17" s="1">
        <v>1</v>
      </c>
      <c r="F17" s="8">
        <v>4746.72</v>
      </c>
      <c r="G17" s="8">
        <f>fact_anuncios[[#This Row],[preco_unit]]*(1-fact_anuncios[[#This Row],[perc_desconto_min]])</f>
        <v>4746.245328</v>
      </c>
      <c r="H17" s="8">
        <f>fact_anuncios[[#This Row],[preco_unit]]*fact_anuncios[[#This Row],[quantidade_anuncio]]</f>
        <v>4746.72</v>
      </c>
      <c r="I17" s="1">
        <v>1E-4</v>
      </c>
      <c r="J17" s="8">
        <f>fact_anuncios[[#This Row],[preco_min_unit]]*fact_anuncios[[#This Row],[quantidade_anuncio]]</f>
        <v>4746.245328</v>
      </c>
      <c r="K17" s="1" t="s">
        <v>18</v>
      </c>
      <c r="L17" s="1">
        <v>0.17</v>
      </c>
      <c r="M17" s="9">
        <f>fact_anuncios[[#This Row],[preco_sugerido]]*fact_anuncios[[#This Row],[perc_comissao]]</f>
        <v>1078.355533996857</v>
      </c>
      <c r="N17" s="9">
        <v>105.95</v>
      </c>
      <c r="O17" s="4">
        <v>0.08</v>
      </c>
      <c r="P17" s="9">
        <f>fact_anuncios[[#This Row],[valor_tipo]]+fact_anuncios[[#This Row],[frete]]</f>
        <v>1184.3055339968571</v>
      </c>
      <c r="Q17" s="9">
        <f>(fact_anuncios[[#This Row],[valor_tipo]]+fact_anuncios[[#This Row],[frete]])*(1+fact_anuncios[[#This Row],[markup_promo]])</f>
        <v>1279.0499767166057</v>
      </c>
      <c r="R17" s="9">
        <f>((fact_anuncios[[#This Row],[valor_min_produto]] / (1-fact_anuncios[[#This Row],[markup_promo]])) +fact_anuncios[[#This Row],[frete]]) / (1 - fact_anuncios[[#This Row],[perc_comissao]])</f>
        <v>6343.2678470403353</v>
      </c>
      <c r="S17" s="9">
        <f>(fact_anuncios[[#This Row],[valor_min_produto]] + fact_anuncios[[#This Row],[frete]]) / (1 - fact_anuncios[[#This Row],[perc_comissao]])</f>
        <v>5846.0184674698794</v>
      </c>
      <c r="T17" s="9">
        <f>fact_anuncios[[#This Row],[atacado_1]] * 1.0254</f>
        <v>5994.5073365436147</v>
      </c>
      <c r="U17" s="1" t="s">
        <v>6</v>
      </c>
    </row>
    <row r="18" spans="1:21" x14ac:dyDescent="0.3">
      <c r="A18" s="1">
        <v>1005</v>
      </c>
      <c r="B18" s="2" t="s">
        <v>239</v>
      </c>
      <c r="C18" s="2" t="s">
        <v>433</v>
      </c>
      <c r="D18" s="6" t="s">
        <v>472</v>
      </c>
      <c r="E18" s="1">
        <v>1</v>
      </c>
      <c r="F18" s="8">
        <v>220.7758</v>
      </c>
      <c r="G18" s="8">
        <f>fact_anuncios[[#This Row],[preco_unit]]*(1-fact_anuncios[[#This Row],[perc_desconto_min]])</f>
        <v>203.11373600000002</v>
      </c>
      <c r="H18" s="8">
        <f>fact_anuncios[[#This Row],[preco_unit]]*fact_anuncios[[#This Row],[quantidade_anuncio]]</f>
        <v>220.7758</v>
      </c>
      <c r="I18" s="1">
        <v>0.08</v>
      </c>
      <c r="J18" s="8">
        <f>fact_anuncios[[#This Row],[preco_min_unit]]*fact_anuncios[[#This Row],[quantidade_anuncio]]</f>
        <v>203.11373600000002</v>
      </c>
      <c r="K18" s="1" t="s">
        <v>18</v>
      </c>
      <c r="L18" s="1">
        <v>0.14000000000000001</v>
      </c>
      <c r="M18" s="9">
        <f>fact_anuncios[[#This Row],[preco_sugerido]]*fact_anuncios[[#This Row],[perc_comissao]]</f>
        <v>40.555362790697679</v>
      </c>
      <c r="N18" s="9">
        <v>28.35</v>
      </c>
      <c r="O18" s="4">
        <v>0.08</v>
      </c>
      <c r="P18" s="9">
        <f>fact_anuncios[[#This Row],[valor_tipo]]+fact_anuncios[[#This Row],[frete]]</f>
        <v>68.90536279069768</v>
      </c>
      <c r="Q18" s="9">
        <f>(fact_anuncios[[#This Row],[valor_tipo]]+fact_anuncios[[#This Row],[frete]])*(1+fact_anuncios[[#This Row],[markup_promo]])</f>
        <v>74.4177918139535</v>
      </c>
      <c r="R18" s="9">
        <f>((fact_anuncios[[#This Row],[valor_min_produto]] / (1-fact_anuncios[[#This Row],[markup_promo]])) +fact_anuncios[[#This Row],[frete]]) / (1 - fact_anuncios[[#This Row],[perc_comissao]])</f>
        <v>289.68116279069767</v>
      </c>
      <c r="S18" s="9">
        <f>(fact_anuncios[[#This Row],[valor_min_produto]] + fact_anuncios[[#This Row],[frete]]) / (1 - fact_anuncios[[#This Row],[perc_comissao]])</f>
        <v>269.14387906976748</v>
      </c>
      <c r="T18" s="9">
        <f>fact_anuncios[[#This Row],[atacado_1]] * 1.0254</f>
        <v>275.98013359813962</v>
      </c>
      <c r="U18" s="1" t="s">
        <v>23</v>
      </c>
    </row>
    <row r="19" spans="1:21" x14ac:dyDescent="0.3">
      <c r="A19" s="1">
        <v>1005</v>
      </c>
      <c r="B19" s="2" t="s">
        <v>240</v>
      </c>
      <c r="C19" s="2" t="s">
        <v>321</v>
      </c>
      <c r="D19" s="6" t="s">
        <v>472</v>
      </c>
      <c r="E19" s="1">
        <v>1</v>
      </c>
      <c r="F19" s="8">
        <v>220.7758</v>
      </c>
      <c r="G19" s="8">
        <f>fact_anuncios[[#This Row],[preco_unit]]*(1-fact_anuncios[[#This Row],[perc_desconto_min]])</f>
        <v>203.11373600000002</v>
      </c>
      <c r="H19" s="8">
        <f>fact_anuncios[[#This Row],[preco_unit]]*fact_anuncios[[#This Row],[quantidade_anuncio]]</f>
        <v>220.7758</v>
      </c>
      <c r="I19" s="1">
        <v>0.08</v>
      </c>
      <c r="J19" s="8">
        <f>fact_anuncios[[#This Row],[preco_min_unit]]*fact_anuncios[[#This Row],[quantidade_anuncio]]</f>
        <v>203.11373600000002</v>
      </c>
      <c r="K19" s="1" t="s">
        <v>18</v>
      </c>
      <c r="L19" s="1">
        <v>0.14000000000000001</v>
      </c>
      <c r="M19" s="9">
        <f>fact_anuncios[[#This Row],[preco_sugerido]]*fact_anuncios[[#This Row],[perc_comissao]]</f>
        <v>40.555362790697679</v>
      </c>
      <c r="N19" s="9">
        <v>28.35</v>
      </c>
      <c r="O19" s="4">
        <v>0.08</v>
      </c>
      <c r="P19" s="9">
        <f>fact_anuncios[[#This Row],[valor_tipo]]+fact_anuncios[[#This Row],[frete]]</f>
        <v>68.90536279069768</v>
      </c>
      <c r="Q19" s="9">
        <f>(fact_anuncios[[#This Row],[valor_tipo]]+fact_anuncios[[#This Row],[frete]])*(1+fact_anuncios[[#This Row],[markup_promo]])</f>
        <v>74.4177918139535</v>
      </c>
      <c r="R19" s="9">
        <f>((fact_anuncios[[#This Row],[valor_min_produto]] / (1-fact_anuncios[[#This Row],[markup_promo]])) +fact_anuncios[[#This Row],[frete]]) / (1 - fact_anuncios[[#This Row],[perc_comissao]])</f>
        <v>289.68116279069767</v>
      </c>
      <c r="S19" s="9">
        <f>(fact_anuncios[[#This Row],[valor_min_produto]] + fact_anuncios[[#This Row],[frete]]) / (1 - fact_anuncios[[#This Row],[perc_comissao]])</f>
        <v>269.14387906976748</v>
      </c>
      <c r="T19" s="9">
        <f>fact_anuncios[[#This Row],[atacado_1]] * 1.0254</f>
        <v>275.98013359813962</v>
      </c>
      <c r="U19" s="1" t="s">
        <v>23</v>
      </c>
    </row>
    <row r="20" spans="1:21" x14ac:dyDescent="0.3">
      <c r="A20" s="1">
        <v>1008</v>
      </c>
      <c r="B20" s="2" t="s">
        <v>208</v>
      </c>
      <c r="C20" s="2" t="s">
        <v>322</v>
      </c>
      <c r="D20" s="6" t="s">
        <v>525</v>
      </c>
      <c r="E20" s="1">
        <v>10</v>
      </c>
      <c r="F20" s="8">
        <v>9.2624999999999993</v>
      </c>
      <c r="G20" s="8">
        <f>fact_anuncios[[#This Row],[preco_unit]]*(1-fact_anuncios[[#This Row],[perc_desconto_min]])</f>
        <v>8.3362499999999997</v>
      </c>
      <c r="H20" s="8">
        <f>fact_anuncios[[#This Row],[preco_unit]]*fact_anuncios[[#This Row],[quantidade_anuncio]]</f>
        <v>92.625</v>
      </c>
      <c r="I20" s="1">
        <v>0.1</v>
      </c>
      <c r="J20" s="8">
        <f>fact_anuncios[[#This Row],[preco_min_unit]]*fact_anuncios[[#This Row],[quantidade_anuncio]]</f>
        <v>83.362499999999997</v>
      </c>
      <c r="K20" s="1" t="s">
        <v>18</v>
      </c>
      <c r="L20" s="1">
        <v>0.17</v>
      </c>
      <c r="M20" s="9">
        <f>fact_anuncios[[#This Row],[preco_sugerido]]*fact_anuncios[[#This Row],[perc_comissao]]</f>
        <v>21.088482189628078</v>
      </c>
      <c r="N20" s="9">
        <v>12.35</v>
      </c>
      <c r="O20" s="4">
        <v>0.08</v>
      </c>
      <c r="P20" s="9">
        <f>fact_anuncios[[#This Row],[valor_tipo]]+fact_anuncios[[#This Row],[frete]]</f>
        <v>33.438482189628076</v>
      </c>
      <c r="Q20" s="9">
        <f>(fact_anuncios[[#This Row],[valor_tipo]]+fact_anuncios[[#This Row],[frete]])*(1+fact_anuncios[[#This Row],[markup_promo]])</f>
        <v>36.113560764798322</v>
      </c>
      <c r="R20" s="9">
        <f>((fact_anuncios[[#This Row],[valor_min_produto]] / (1-fact_anuncios[[#This Row],[markup_promo]])) +fact_anuncios[[#This Row],[frete]]) / (1 - fact_anuncios[[#This Row],[perc_comissao]])</f>
        <v>124.04989523310633</v>
      </c>
      <c r="S20" s="9">
        <f>(fact_anuncios[[#This Row],[valor_min_produto]] + fact_anuncios[[#This Row],[frete]]) / (1 - fact_anuncios[[#This Row],[perc_comissao]])</f>
        <v>115.31626506024097</v>
      </c>
      <c r="T20" s="9">
        <f>fact_anuncios[[#This Row],[atacado_1]] * 1.0254</f>
        <v>118.2452981927711</v>
      </c>
      <c r="U20" s="1" t="s">
        <v>21</v>
      </c>
    </row>
    <row r="21" spans="1:21" x14ac:dyDescent="0.3">
      <c r="A21" s="1">
        <v>1009</v>
      </c>
      <c r="B21" s="2" t="s">
        <v>199</v>
      </c>
      <c r="C21" s="2" t="s">
        <v>434</v>
      </c>
      <c r="D21" s="6" t="s">
        <v>526</v>
      </c>
      <c r="E21" s="1">
        <v>1</v>
      </c>
      <c r="F21" s="8">
        <v>347.85789999999997</v>
      </c>
      <c r="G21" s="8">
        <f>fact_anuncios[[#This Row],[preco_unit]]*(1-fact_anuncios[[#This Row],[perc_desconto_min]])</f>
        <v>322.11641539999999</v>
      </c>
      <c r="H21" s="8">
        <f>fact_anuncios[[#This Row],[preco_unit]]*fact_anuncios[[#This Row],[quantidade_anuncio]]</f>
        <v>347.85789999999997</v>
      </c>
      <c r="I21" s="1">
        <v>7.3999999999999996E-2</v>
      </c>
      <c r="J21" s="8">
        <f>fact_anuncios[[#This Row],[preco_min_unit]]*fact_anuncios[[#This Row],[quantidade_anuncio]]</f>
        <v>322.11641539999999</v>
      </c>
      <c r="K21" s="1" t="s">
        <v>19</v>
      </c>
      <c r="L21" s="1">
        <v>0.11</v>
      </c>
      <c r="M21" s="9">
        <f>fact_anuncios[[#This Row],[preco_sugerido]]*fact_anuncios[[#This Row],[perc_comissao]]</f>
        <v>45.863392396189539</v>
      </c>
      <c r="N21" s="9">
        <v>20.95</v>
      </c>
      <c r="O21" s="4">
        <v>0.08</v>
      </c>
      <c r="P21" s="9">
        <f>fact_anuncios[[#This Row],[valor_tipo]]+fact_anuncios[[#This Row],[frete]]</f>
        <v>66.813392396189542</v>
      </c>
      <c r="Q21" s="9">
        <f>(fact_anuncios[[#This Row],[valor_tipo]]+fact_anuncios[[#This Row],[frete]])*(1+fact_anuncios[[#This Row],[markup_promo]])</f>
        <v>72.158463787884713</v>
      </c>
      <c r="R21" s="9">
        <f>((fact_anuncios[[#This Row],[valor_min_produto]] / (1-fact_anuncios[[#This Row],[markup_promo]])) +fact_anuncios[[#This Row],[frete]]) / (1 - fact_anuncios[[#This Row],[perc_comissao]])</f>
        <v>416.93993087445034</v>
      </c>
      <c r="S21" s="9">
        <f>(fact_anuncios[[#This Row],[valor_min_produto]] + fact_anuncios[[#This Row],[frete]]) / (1 - fact_anuncios[[#This Row],[perc_comissao]])</f>
        <v>385.46788247191006</v>
      </c>
      <c r="T21" s="9">
        <f>fact_anuncios[[#This Row],[atacado_1]] * 1.0254</f>
        <v>395.25876668669662</v>
      </c>
      <c r="U21" s="1" t="s">
        <v>7</v>
      </c>
    </row>
    <row r="22" spans="1:21" x14ac:dyDescent="0.3">
      <c r="A22" s="1">
        <v>1009</v>
      </c>
      <c r="B22" s="2" t="s">
        <v>200</v>
      </c>
      <c r="C22" s="2" t="s">
        <v>323</v>
      </c>
      <c r="D22" s="6" t="s">
        <v>526</v>
      </c>
      <c r="E22" s="1">
        <v>5</v>
      </c>
      <c r="F22" s="8">
        <v>347.85789999999997</v>
      </c>
      <c r="G22" s="8">
        <f>fact_anuncios[[#This Row],[preco_unit]]*(1-fact_anuncios[[#This Row],[perc_desconto_min]])</f>
        <v>322.11641539999994</v>
      </c>
      <c r="H22" s="8">
        <f>fact_anuncios[[#This Row],[preco_unit]]*fact_anuncios[[#This Row],[quantidade_anuncio]]</f>
        <v>1739.2894999999999</v>
      </c>
      <c r="I22" s="1">
        <v>7.400000000000001E-2</v>
      </c>
      <c r="J22" s="8">
        <f>fact_anuncios[[#This Row],[preco_min_unit]]*fact_anuncios[[#This Row],[quantidade_anuncio]]</f>
        <v>1610.5820769999996</v>
      </c>
      <c r="K22" s="1" t="s">
        <v>19</v>
      </c>
      <c r="L22" s="1">
        <v>0.12</v>
      </c>
      <c r="M22" s="9">
        <f>fact_anuncios[[#This Row],[preco_sugerido]]*fact_anuncios[[#This Row],[perc_comissao]]</f>
        <v>241.79763987154141</v>
      </c>
      <c r="N22" s="9">
        <v>22.55</v>
      </c>
      <c r="O22" s="4">
        <v>0.08</v>
      </c>
      <c r="P22" s="9">
        <f>fact_anuncios[[#This Row],[valor_tipo]]+fact_anuncios[[#This Row],[frete]]</f>
        <v>264.34763987154139</v>
      </c>
      <c r="Q22" s="9">
        <f>(fact_anuncios[[#This Row],[valor_tipo]]+fact_anuncios[[#This Row],[frete]])*(1+fact_anuncios[[#This Row],[markup_promo]])</f>
        <v>285.4954510612647</v>
      </c>
      <c r="R22" s="9">
        <f>((fact_anuncios[[#This Row],[valor_min_produto]] / (1-fact_anuncios[[#This Row],[markup_promo]])) +fact_anuncios[[#This Row],[frete]]) / (1 - fact_anuncios[[#This Row],[perc_comissao]])</f>
        <v>2014.9803322628452</v>
      </c>
      <c r="S22" s="9">
        <f>(fact_anuncios[[#This Row],[valor_min_produto]] + fact_anuncios[[#This Row],[frete]]) / (1 - fact_anuncios[[#This Row],[perc_comissao]])</f>
        <v>1855.8319056818177</v>
      </c>
      <c r="T22" s="9">
        <f>fact_anuncios[[#This Row],[atacado_1]] * 1.0254</f>
        <v>1902.9700360861361</v>
      </c>
      <c r="U22" s="1" t="s">
        <v>7</v>
      </c>
    </row>
    <row r="23" spans="1:21" x14ac:dyDescent="0.3">
      <c r="A23" s="1">
        <v>1009</v>
      </c>
      <c r="B23" s="2" t="s">
        <v>201</v>
      </c>
      <c r="C23" s="2" t="s">
        <v>324</v>
      </c>
      <c r="D23" s="6" t="s">
        <v>526</v>
      </c>
      <c r="E23" s="1">
        <v>5</v>
      </c>
      <c r="F23" s="8">
        <v>347.85789999999997</v>
      </c>
      <c r="G23" s="8">
        <f>fact_anuncios[[#This Row],[preco_unit]]*(1-fact_anuncios[[#This Row],[perc_desconto_min]])</f>
        <v>322.11641539999994</v>
      </c>
      <c r="H23" s="8">
        <f>fact_anuncios[[#This Row],[preco_unit]]*fact_anuncios[[#This Row],[quantidade_anuncio]]</f>
        <v>1739.2894999999999</v>
      </c>
      <c r="I23" s="1">
        <v>7.400000000000001E-2</v>
      </c>
      <c r="J23" s="8">
        <f>fact_anuncios[[#This Row],[preco_min_unit]]*fact_anuncios[[#This Row],[quantidade_anuncio]]</f>
        <v>1610.5820769999996</v>
      </c>
      <c r="K23" s="1" t="s">
        <v>19</v>
      </c>
      <c r="L23" s="1">
        <v>0.12</v>
      </c>
      <c r="M23" s="9">
        <f>fact_anuncios[[#This Row],[preco_sugerido]]*fact_anuncios[[#This Row],[perc_comissao]]</f>
        <v>241.79763987154141</v>
      </c>
      <c r="N23" s="9">
        <v>22.55</v>
      </c>
      <c r="O23" s="4">
        <v>0.08</v>
      </c>
      <c r="P23" s="9">
        <f>fact_anuncios[[#This Row],[valor_tipo]]+fact_anuncios[[#This Row],[frete]]</f>
        <v>264.34763987154139</v>
      </c>
      <c r="Q23" s="9">
        <f>(fact_anuncios[[#This Row],[valor_tipo]]+fact_anuncios[[#This Row],[frete]])*(1+fact_anuncios[[#This Row],[markup_promo]])</f>
        <v>285.4954510612647</v>
      </c>
      <c r="R23" s="9">
        <f>((fact_anuncios[[#This Row],[valor_min_produto]] / (1-fact_anuncios[[#This Row],[markup_promo]])) +fact_anuncios[[#This Row],[frete]]) / (1 - fact_anuncios[[#This Row],[perc_comissao]])</f>
        <v>2014.9803322628452</v>
      </c>
      <c r="S23" s="9">
        <f>(fact_anuncios[[#This Row],[valor_min_produto]] + fact_anuncios[[#This Row],[frete]]) / (1 - fact_anuncios[[#This Row],[perc_comissao]])</f>
        <v>1855.8319056818177</v>
      </c>
      <c r="T23" s="9">
        <f>fact_anuncios[[#This Row],[atacado_1]] * 1.0254</f>
        <v>1902.9700360861361</v>
      </c>
      <c r="U23" s="1" t="s">
        <v>7</v>
      </c>
    </row>
    <row r="24" spans="1:21" x14ac:dyDescent="0.3">
      <c r="A24" s="1">
        <v>1010</v>
      </c>
      <c r="B24" s="2" t="s">
        <v>220</v>
      </c>
      <c r="C24" s="2" t="s">
        <v>435</v>
      </c>
      <c r="D24" s="6" t="s">
        <v>473</v>
      </c>
      <c r="E24" s="1">
        <v>1</v>
      </c>
      <c r="F24" s="8">
        <v>424.6474</v>
      </c>
      <c r="G24" s="8">
        <f>fact_anuncios[[#This Row],[preco_unit]]*(1-fact_anuncios[[#This Row],[perc_desconto_min]])</f>
        <v>388.55237099999999</v>
      </c>
      <c r="H24" s="8">
        <f>fact_anuncios[[#This Row],[preco_unit]]*fact_anuncios[[#This Row],[quantidade_anuncio]]</f>
        <v>424.6474</v>
      </c>
      <c r="I24" s="1">
        <v>8.5000000000000006E-2</v>
      </c>
      <c r="J24" s="8">
        <f>fact_anuncios[[#This Row],[preco_min_unit]]*fact_anuncios[[#This Row],[quantidade_anuncio]]</f>
        <v>388.55237099999999</v>
      </c>
      <c r="K24" s="1" t="s">
        <v>18</v>
      </c>
      <c r="L24" s="1">
        <v>0.14000000000000001</v>
      </c>
      <c r="M24" s="9">
        <f>fact_anuncios[[#This Row],[preco_sugerido]]*fact_anuncios[[#This Row],[perc_comissao]]</f>
        <v>72.765738043478265</v>
      </c>
      <c r="N24" s="9">
        <v>24.65</v>
      </c>
      <c r="O24" s="4">
        <v>0.08</v>
      </c>
      <c r="P24" s="9">
        <f>fact_anuncios[[#This Row],[valor_tipo]]+fact_anuncios[[#This Row],[frete]]</f>
        <v>97.415738043478257</v>
      </c>
      <c r="Q24" s="9">
        <f>(fact_anuncios[[#This Row],[valor_tipo]]+fact_anuncios[[#This Row],[frete]])*(1+fact_anuncios[[#This Row],[markup_promo]])</f>
        <v>105.20899708695653</v>
      </c>
      <c r="R24" s="9">
        <f>((fact_anuncios[[#This Row],[valor_min_produto]] / (1-fact_anuncios[[#This Row],[markup_promo]])) +fact_anuncios[[#This Row],[frete]]) / (1 - fact_anuncios[[#This Row],[perc_comissao]])</f>
        <v>519.75527173913042</v>
      </c>
      <c r="S24" s="9">
        <f>(fact_anuncios[[#This Row],[valor_min_produto]] + fact_anuncios[[#This Row],[frete]]) / (1 - fact_anuncios[[#This Row],[perc_comissao]])</f>
        <v>480.46787325581391</v>
      </c>
      <c r="T24" s="9">
        <f>fact_anuncios[[#This Row],[atacado_1]] * 1.0254</f>
        <v>492.67175723651161</v>
      </c>
      <c r="U24" s="1" t="s">
        <v>22</v>
      </c>
    </row>
    <row r="25" spans="1:21" x14ac:dyDescent="0.3">
      <c r="A25" s="1">
        <v>1011</v>
      </c>
      <c r="B25" s="2" t="s">
        <v>222</v>
      </c>
      <c r="C25" s="2" t="s">
        <v>436</v>
      </c>
      <c r="D25" s="6" t="s">
        <v>474</v>
      </c>
      <c r="E25" s="1">
        <v>1</v>
      </c>
      <c r="F25" s="8">
        <v>416.77550000000002</v>
      </c>
      <c r="G25" s="8">
        <f>fact_anuncios[[#This Row],[preco_unit]]*(1-fact_anuncios[[#This Row],[perc_desconto_min]])</f>
        <v>381.34958250000005</v>
      </c>
      <c r="H25" s="8">
        <f>fact_anuncios[[#This Row],[preco_unit]]*fact_anuncios[[#This Row],[quantidade_anuncio]]</f>
        <v>416.77550000000002</v>
      </c>
      <c r="I25" s="1">
        <v>8.5000000000000006E-2</v>
      </c>
      <c r="J25" s="8">
        <f>fact_anuncios[[#This Row],[preco_min_unit]]*fact_anuncios[[#This Row],[quantidade_anuncio]]</f>
        <v>381.34958250000005</v>
      </c>
      <c r="K25" s="1" t="s">
        <v>18</v>
      </c>
      <c r="L25" s="1">
        <v>0.14000000000000001</v>
      </c>
      <c r="M25" s="9">
        <f>fact_anuncios[[#This Row],[preco_sugerido]]*fact_anuncios[[#This Row],[perc_comissao]]</f>
        <v>71.491230472699712</v>
      </c>
      <c r="N25" s="9">
        <v>24.65</v>
      </c>
      <c r="O25" s="4">
        <v>0.08</v>
      </c>
      <c r="P25" s="9">
        <f>fact_anuncios[[#This Row],[valor_tipo]]+fact_anuncios[[#This Row],[frete]]</f>
        <v>96.141230472699704</v>
      </c>
      <c r="Q25" s="9">
        <f>(fact_anuncios[[#This Row],[valor_tipo]]+fact_anuncios[[#This Row],[frete]])*(1+fact_anuncios[[#This Row],[markup_promo]])</f>
        <v>103.83252891051569</v>
      </c>
      <c r="R25" s="9">
        <f>((fact_anuncios[[#This Row],[valor_min_produto]] / (1-fact_anuncios[[#This Row],[markup_promo]])) +fact_anuncios[[#This Row],[frete]]) / (1 - fact_anuncios[[#This Row],[perc_comissao]])</f>
        <v>510.65164623356929</v>
      </c>
      <c r="S25" s="9">
        <f>(fact_anuncios[[#This Row],[valor_min_produto]] + fact_anuncios[[#This Row],[frete]]) / (1 - fact_anuncios[[#This Row],[perc_comissao]])</f>
        <v>472.09253779069769</v>
      </c>
      <c r="T25" s="9">
        <f>fact_anuncios[[#This Row],[atacado_1]] * 1.0254</f>
        <v>484.08368825058147</v>
      </c>
      <c r="U25" s="1" t="s">
        <v>22</v>
      </c>
    </row>
    <row r="26" spans="1:21" x14ac:dyDescent="0.3">
      <c r="A26" s="1">
        <v>1012</v>
      </c>
      <c r="B26" s="2" t="s">
        <v>262</v>
      </c>
      <c r="C26" s="2" t="s">
        <v>325</v>
      </c>
      <c r="D26" s="6" t="s">
        <v>527</v>
      </c>
      <c r="E26" s="1">
        <v>2</v>
      </c>
      <c r="F26" s="8">
        <v>650.8818</v>
      </c>
      <c r="G26" s="8">
        <f>fact_anuncios[[#This Row],[preco_unit]]*(1-fact_anuncios[[#This Row],[perc_desconto_min]])</f>
        <v>598.81125600000007</v>
      </c>
      <c r="H26" s="8">
        <f>fact_anuncios[[#This Row],[preco_unit]]*fact_anuncios[[#This Row],[quantidade_anuncio]]</f>
        <v>1301.7636</v>
      </c>
      <c r="I26" s="1">
        <v>0.08</v>
      </c>
      <c r="J26" s="8">
        <f>fact_anuncios[[#This Row],[preco_min_unit]]*fact_anuncios[[#This Row],[quantidade_anuncio]]</f>
        <v>1197.6225120000001</v>
      </c>
      <c r="K26" s="1" t="s">
        <v>18</v>
      </c>
      <c r="L26" s="1">
        <v>0.16500000000000001</v>
      </c>
      <c r="M26" s="9">
        <f>fact_anuncios[[#This Row],[preco_sugerido]]*fact_anuncios[[#This Row],[perc_comissao]]</f>
        <v>262.4218491017964</v>
      </c>
      <c r="N26" s="9">
        <v>26.25</v>
      </c>
      <c r="O26" s="4">
        <v>0.08</v>
      </c>
      <c r="P26" s="9">
        <f>fact_anuncios[[#This Row],[valor_tipo]]+fact_anuncios[[#This Row],[frete]]</f>
        <v>288.6718491017964</v>
      </c>
      <c r="Q26" s="9">
        <f>(fact_anuncios[[#This Row],[valor_tipo]]+fact_anuncios[[#This Row],[frete]])*(1+fact_anuncios[[#This Row],[markup_promo]])</f>
        <v>311.76559702994012</v>
      </c>
      <c r="R26" s="9">
        <f>((fact_anuncios[[#This Row],[valor_min_produto]] / (1-fact_anuncios[[#This Row],[markup_promo]])) +fact_anuncios[[#This Row],[frete]]) / (1 - fact_anuncios[[#This Row],[perc_comissao]])</f>
        <v>1590.4354491017964</v>
      </c>
      <c r="S26" s="9">
        <f>(fact_anuncios[[#This Row],[valor_min_produto]] + fact_anuncios[[#This Row],[frete]]) / (1 - fact_anuncios[[#This Row],[perc_comissao]])</f>
        <v>1465.7155832335332</v>
      </c>
      <c r="T26" s="9">
        <f>fact_anuncios[[#This Row],[atacado_1]] * 1.0254</f>
        <v>1502.944759047665</v>
      </c>
      <c r="U26" s="1" t="s">
        <v>5</v>
      </c>
    </row>
    <row r="27" spans="1:21" x14ac:dyDescent="0.3">
      <c r="A27" s="1">
        <v>1013</v>
      </c>
      <c r="B27" s="2" t="s">
        <v>181</v>
      </c>
      <c r="C27" s="2" t="s">
        <v>437</v>
      </c>
      <c r="D27" s="6" t="s">
        <v>475</v>
      </c>
      <c r="E27" s="1">
        <v>1</v>
      </c>
      <c r="F27" s="8">
        <v>439.54599999999999</v>
      </c>
      <c r="G27" s="8">
        <f>fact_anuncios[[#This Row],[preco_unit]]*(1-fact_anuncios[[#This Row],[perc_desconto_min]])</f>
        <v>408.77777999999995</v>
      </c>
      <c r="H27" s="8">
        <f>fact_anuncios[[#This Row],[preco_unit]]*fact_anuncios[[#This Row],[quantidade_anuncio]]</f>
        <v>439.54599999999999</v>
      </c>
      <c r="I27" s="1">
        <v>7.0000000000000007E-2</v>
      </c>
      <c r="J27" s="8">
        <f>fact_anuncios[[#This Row],[preco_min_unit]]*fact_anuncios[[#This Row],[quantidade_anuncio]]</f>
        <v>408.77777999999995</v>
      </c>
      <c r="K27" s="1" t="s">
        <v>18</v>
      </c>
      <c r="L27" s="1">
        <v>0.14000000000000001</v>
      </c>
      <c r="M27" s="9">
        <f>fact_anuncios[[#This Row],[preco_sugerido]]*fact_anuncios[[#This Row],[perc_comissao]]</f>
        <v>76.605016683518699</v>
      </c>
      <c r="N27" s="9">
        <v>26.25</v>
      </c>
      <c r="O27" s="4">
        <v>0.08</v>
      </c>
      <c r="P27" s="9">
        <f>fact_anuncios[[#This Row],[valor_tipo]]+fact_anuncios[[#This Row],[frete]]</f>
        <v>102.8550166835187</v>
      </c>
      <c r="Q27" s="9">
        <f>(fact_anuncios[[#This Row],[valor_tipo]]+fact_anuncios[[#This Row],[frete]])*(1+fact_anuncios[[#This Row],[markup_promo]])</f>
        <v>111.08341801820021</v>
      </c>
      <c r="R27" s="9">
        <f>((fact_anuncios[[#This Row],[valor_min_produto]] / (1-fact_anuncios[[#This Row],[markup_promo]])) +fact_anuncios[[#This Row],[frete]]) / (1 - fact_anuncios[[#This Row],[perc_comissao]])</f>
        <v>547.17869059656209</v>
      </c>
      <c r="S27" s="9">
        <f>(fact_anuncios[[#This Row],[valor_min_produto]] + fact_anuncios[[#This Row],[frete]]) / (1 - fact_anuncios[[#This Row],[perc_comissao]])</f>
        <v>505.84625581395346</v>
      </c>
      <c r="T27" s="9">
        <f>fact_anuncios[[#This Row],[atacado_1]] * 1.0254</f>
        <v>518.69475071162788</v>
      </c>
      <c r="U27" s="1" t="s">
        <v>22</v>
      </c>
    </row>
    <row r="28" spans="1:21" x14ac:dyDescent="0.3">
      <c r="A28" s="1">
        <v>1014</v>
      </c>
      <c r="B28" s="2" t="s">
        <v>245</v>
      </c>
      <c r="C28" s="2" t="s">
        <v>438</v>
      </c>
      <c r="D28" s="6" t="s">
        <v>528</v>
      </c>
      <c r="E28" s="1">
        <v>1</v>
      </c>
      <c r="F28" s="8">
        <v>2962.5749999999998</v>
      </c>
      <c r="G28" s="8">
        <f>fact_anuncios[[#This Row],[preco_unit]]*(1-fact_anuncios[[#This Row],[perc_desconto_min]])</f>
        <v>2962.2787424999997</v>
      </c>
      <c r="H28" s="8">
        <f>fact_anuncios[[#This Row],[preco_unit]]*fact_anuncios[[#This Row],[quantidade_anuncio]]</f>
        <v>2962.5749999999998</v>
      </c>
      <c r="I28" s="1">
        <v>1E-4</v>
      </c>
      <c r="J28" s="8">
        <f>fact_anuncios[[#This Row],[preco_min_unit]]*fact_anuncios[[#This Row],[quantidade_anuncio]]</f>
        <v>2962.2787424999997</v>
      </c>
      <c r="K28" s="1" t="s">
        <v>19</v>
      </c>
      <c r="L28" s="1">
        <v>0.12</v>
      </c>
      <c r="M28" s="9">
        <f>fact_anuncios[[#This Row],[preco_sugerido]]*fact_anuncios[[#This Row],[perc_comissao]]</f>
        <v>448.43429977766789</v>
      </c>
      <c r="N28" s="9">
        <v>68.650000000000006</v>
      </c>
      <c r="O28" s="4">
        <v>0.08</v>
      </c>
      <c r="P28" s="9">
        <f>fact_anuncios[[#This Row],[valor_tipo]]+fact_anuncios[[#This Row],[frete]]</f>
        <v>517.08429977766787</v>
      </c>
      <c r="Q28" s="9">
        <f>(fact_anuncios[[#This Row],[valor_tipo]]+fact_anuncios[[#This Row],[frete]])*(1+fact_anuncios[[#This Row],[markup_promo]])</f>
        <v>558.45104375988137</v>
      </c>
      <c r="R28" s="9">
        <f>((fact_anuncios[[#This Row],[valor_min_produto]] / (1-fact_anuncios[[#This Row],[markup_promo]])) +fact_anuncios[[#This Row],[frete]]) / (1 - fact_anuncios[[#This Row],[perc_comissao]])</f>
        <v>3736.9524981472327</v>
      </c>
      <c r="S28" s="9">
        <f>(fact_anuncios[[#This Row],[valor_min_produto]] + fact_anuncios[[#This Row],[frete]]) / (1 - fact_anuncios[[#This Row],[perc_comissao]])</f>
        <v>3444.2372073863635</v>
      </c>
      <c r="T28" s="9">
        <f>fact_anuncios[[#This Row],[atacado_1]] * 1.0254</f>
        <v>3531.7208324539774</v>
      </c>
      <c r="U28" s="1" t="s">
        <v>6</v>
      </c>
    </row>
    <row r="29" spans="1:21" x14ac:dyDescent="0.3">
      <c r="A29" s="1">
        <v>1014</v>
      </c>
      <c r="B29" s="2" t="s">
        <v>246</v>
      </c>
      <c r="C29" s="2" t="s">
        <v>326</v>
      </c>
      <c r="D29" s="6" t="s">
        <v>528</v>
      </c>
      <c r="E29" s="1">
        <v>1</v>
      </c>
      <c r="F29" s="8">
        <v>2962.5749999999998</v>
      </c>
      <c r="G29" s="8">
        <f>fact_anuncios[[#This Row],[preco_unit]]*(1-fact_anuncios[[#This Row],[perc_desconto_min]])</f>
        <v>2962.2787424999997</v>
      </c>
      <c r="H29" s="8">
        <f>fact_anuncios[[#This Row],[preco_unit]]*fact_anuncios[[#This Row],[quantidade_anuncio]]</f>
        <v>2962.5749999999998</v>
      </c>
      <c r="I29" s="1">
        <v>1E-4</v>
      </c>
      <c r="J29" s="8">
        <f>fact_anuncios[[#This Row],[preco_min_unit]]*fact_anuncios[[#This Row],[quantidade_anuncio]]</f>
        <v>2962.2787424999997</v>
      </c>
      <c r="K29" s="1" t="s">
        <v>19</v>
      </c>
      <c r="L29" s="1">
        <v>0.12</v>
      </c>
      <c r="M29" s="9">
        <f>fact_anuncios[[#This Row],[preco_sugerido]]*fact_anuncios[[#This Row],[perc_comissao]]</f>
        <v>448.43429977766789</v>
      </c>
      <c r="N29" s="9">
        <v>68.650000000000006</v>
      </c>
      <c r="O29" s="4">
        <v>0.08</v>
      </c>
      <c r="P29" s="9">
        <f>fact_anuncios[[#This Row],[valor_tipo]]+fact_anuncios[[#This Row],[frete]]</f>
        <v>517.08429977766787</v>
      </c>
      <c r="Q29" s="9">
        <f>(fact_anuncios[[#This Row],[valor_tipo]]+fact_anuncios[[#This Row],[frete]])*(1+fact_anuncios[[#This Row],[markup_promo]])</f>
        <v>558.45104375988137</v>
      </c>
      <c r="R29" s="9">
        <f>((fact_anuncios[[#This Row],[valor_min_produto]] / (1-fact_anuncios[[#This Row],[markup_promo]])) +fact_anuncios[[#This Row],[frete]]) / (1 - fact_anuncios[[#This Row],[perc_comissao]])</f>
        <v>3736.9524981472327</v>
      </c>
      <c r="S29" s="9">
        <f>(fact_anuncios[[#This Row],[valor_min_produto]] + fact_anuncios[[#This Row],[frete]]) / (1 - fact_anuncios[[#This Row],[perc_comissao]])</f>
        <v>3444.2372073863635</v>
      </c>
      <c r="T29" s="9">
        <f>fact_anuncios[[#This Row],[atacado_1]] * 1.0254</f>
        <v>3531.7208324539774</v>
      </c>
      <c r="U29" s="1" t="s">
        <v>6</v>
      </c>
    </row>
    <row r="30" spans="1:21" x14ac:dyDescent="0.3">
      <c r="A30" s="1">
        <v>1014</v>
      </c>
      <c r="B30" s="2" t="s">
        <v>247</v>
      </c>
      <c r="C30" s="2" t="s">
        <v>327</v>
      </c>
      <c r="D30" s="6" t="s">
        <v>528</v>
      </c>
      <c r="E30" s="1">
        <v>1</v>
      </c>
      <c r="F30" s="8">
        <v>2962.5749999999998</v>
      </c>
      <c r="G30" s="8">
        <f>fact_anuncios[[#This Row],[preco_unit]]*(1-fact_anuncios[[#This Row],[perc_desconto_min]])</f>
        <v>2962.2787424999997</v>
      </c>
      <c r="H30" s="8">
        <f>fact_anuncios[[#This Row],[preco_unit]]*fact_anuncios[[#This Row],[quantidade_anuncio]]</f>
        <v>2962.5749999999998</v>
      </c>
      <c r="I30" s="1">
        <v>1E-4</v>
      </c>
      <c r="J30" s="8">
        <f>fact_anuncios[[#This Row],[preco_min_unit]]*fact_anuncios[[#This Row],[quantidade_anuncio]]</f>
        <v>2962.2787424999997</v>
      </c>
      <c r="K30" s="1" t="s">
        <v>18</v>
      </c>
      <c r="L30" s="1">
        <v>0.17</v>
      </c>
      <c r="M30" s="9">
        <f>fact_anuncios[[#This Row],[preco_sugerido]]*fact_anuncios[[#This Row],[perc_comissao]]</f>
        <v>668.5133659311158</v>
      </c>
      <c r="N30" s="9">
        <v>44.05</v>
      </c>
      <c r="O30" s="4">
        <v>0.08</v>
      </c>
      <c r="P30" s="9">
        <f>fact_anuncios[[#This Row],[valor_tipo]]+fact_anuncios[[#This Row],[frete]]</f>
        <v>712.56336593111575</v>
      </c>
      <c r="Q30" s="9">
        <f>(fact_anuncios[[#This Row],[valor_tipo]]+fact_anuncios[[#This Row],[frete]])*(1+fact_anuncios[[#This Row],[markup_promo]])</f>
        <v>769.56843520560506</v>
      </c>
      <c r="R30" s="9">
        <f>((fact_anuncios[[#This Row],[valor_min_produto]] / (1-fact_anuncios[[#This Row],[markup_promo]])) +fact_anuncios[[#This Row],[frete]]) / (1 - fact_anuncios[[#This Row],[perc_comissao]])</f>
        <v>3932.4315643006807</v>
      </c>
      <c r="S30" s="9">
        <f>(fact_anuncios[[#This Row],[valor_min_produto]] + fact_anuncios[[#This Row],[frete]]) / (1 - fact_anuncios[[#This Row],[perc_comissao]])</f>
        <v>3622.0828222891564</v>
      </c>
      <c r="T30" s="9">
        <f>fact_anuncios[[#This Row],[atacado_1]] * 1.0254</f>
        <v>3714.0837259753011</v>
      </c>
      <c r="U30" s="1" t="s">
        <v>6</v>
      </c>
    </row>
    <row r="31" spans="1:21" x14ac:dyDescent="0.3">
      <c r="A31" s="1">
        <v>1015</v>
      </c>
      <c r="B31" s="2" t="s">
        <v>260</v>
      </c>
      <c r="C31" s="2" t="s">
        <v>439</v>
      </c>
      <c r="D31" s="6" t="s">
        <v>529</v>
      </c>
      <c r="E31" s="1">
        <v>1</v>
      </c>
      <c r="F31" s="8">
        <v>435.08670000000001</v>
      </c>
      <c r="G31" s="8">
        <f>fact_anuncios[[#This Row],[preco_unit]]*(1-fact_anuncios[[#This Row],[perc_desconto_min]])</f>
        <v>402.89028420000005</v>
      </c>
      <c r="H31" s="8">
        <f>fact_anuncios[[#This Row],[preco_unit]]*fact_anuncios[[#This Row],[quantidade_anuncio]]</f>
        <v>435.08670000000001</v>
      </c>
      <c r="I31" s="1">
        <v>7.3999999999999996E-2</v>
      </c>
      <c r="J31" s="8">
        <f>fact_anuncios[[#This Row],[preco_min_unit]]*fact_anuncios[[#This Row],[quantidade_anuncio]]</f>
        <v>402.89028420000005</v>
      </c>
      <c r="K31" s="1" t="s">
        <v>18</v>
      </c>
      <c r="L31" s="1">
        <v>0.14000000000000001</v>
      </c>
      <c r="M31" s="9">
        <f>fact_anuncios[[#This Row],[preco_sugerido]]*fact_anuncios[[#This Row],[perc_comissao]]</f>
        <v>74.700454737108203</v>
      </c>
      <c r="N31" s="9">
        <v>20.95</v>
      </c>
      <c r="O31" s="4">
        <v>0.08</v>
      </c>
      <c r="P31" s="9">
        <f>fact_anuncios[[#This Row],[valor_tipo]]+fact_anuncios[[#This Row],[frete]]</f>
        <v>95.650454737108205</v>
      </c>
      <c r="Q31" s="9">
        <f>(fact_anuncios[[#This Row],[valor_tipo]]+fact_anuncios[[#This Row],[frete]])*(1+fact_anuncios[[#This Row],[markup_promo]])</f>
        <v>103.30249111607687</v>
      </c>
      <c r="R31" s="9">
        <f>((fact_anuncios[[#This Row],[valor_min_produto]] / (1-fact_anuncios[[#This Row],[markup_promo]])) +fact_anuncios[[#This Row],[frete]]) / (1 - fact_anuncios[[#This Row],[perc_comissao]])</f>
        <v>533.57467669362995</v>
      </c>
      <c r="S31" s="9">
        <f>(fact_anuncios[[#This Row],[valor_min_produto]] + fact_anuncios[[#This Row],[frete]]) / (1 - fact_anuncios[[#This Row],[perc_comissao]])</f>
        <v>492.83753976744191</v>
      </c>
      <c r="T31" s="9">
        <f>fact_anuncios[[#This Row],[atacado_1]] * 1.0254</f>
        <v>505.35561327753499</v>
      </c>
      <c r="U31" s="1" t="s">
        <v>7</v>
      </c>
    </row>
    <row r="32" spans="1:21" x14ac:dyDescent="0.3">
      <c r="A32" s="1">
        <v>1015</v>
      </c>
      <c r="B32" s="2" t="s">
        <v>261</v>
      </c>
      <c r="C32" s="2" t="s">
        <v>328</v>
      </c>
      <c r="D32" s="6" t="s">
        <v>529</v>
      </c>
      <c r="E32" s="1">
        <v>5</v>
      </c>
      <c r="F32" s="8">
        <v>435.08670000000001</v>
      </c>
      <c r="G32" s="8">
        <f>fact_anuncios[[#This Row],[preco_unit]]*(1-fact_anuncios[[#This Row],[perc_desconto_min]])</f>
        <v>402.89028420000005</v>
      </c>
      <c r="H32" s="8">
        <f>fact_anuncios[[#This Row],[preco_unit]]*fact_anuncios[[#This Row],[quantidade_anuncio]]</f>
        <v>2175.4335000000001</v>
      </c>
      <c r="I32" s="1">
        <v>7.3999999999999996E-2</v>
      </c>
      <c r="J32" s="8">
        <f>fact_anuncios[[#This Row],[preco_min_unit]]*fact_anuncios[[#This Row],[quantidade_anuncio]]</f>
        <v>2014.4514210000002</v>
      </c>
      <c r="K32" s="1" t="s">
        <v>18</v>
      </c>
      <c r="L32" s="1">
        <v>0.17</v>
      </c>
      <c r="M32" s="9">
        <f>fact_anuncios[[#This Row],[preco_sugerido]]*fact_anuncios[[#This Row],[perc_comissao]]</f>
        <v>453.09528754583562</v>
      </c>
      <c r="N32" s="9">
        <v>22.55</v>
      </c>
      <c r="O32" s="4">
        <v>0.08</v>
      </c>
      <c r="P32" s="9">
        <f>fact_anuncios[[#This Row],[valor_tipo]]+fact_anuncios[[#This Row],[frete]]</f>
        <v>475.64528754583563</v>
      </c>
      <c r="Q32" s="9">
        <f>(fact_anuncios[[#This Row],[valor_tipo]]+fact_anuncios[[#This Row],[frete]])*(1+fact_anuncios[[#This Row],[markup_promo]])</f>
        <v>513.69691054950249</v>
      </c>
      <c r="R32" s="9">
        <f>((fact_anuncios[[#This Row],[valor_min_produto]] / (1-fact_anuncios[[#This Row],[markup_promo]])) +fact_anuncios[[#This Row],[frete]]) / (1 - fact_anuncios[[#This Row],[perc_comissao]])</f>
        <v>2665.2663973284448</v>
      </c>
      <c r="S32" s="9">
        <f>(fact_anuncios[[#This Row],[valor_min_produto]] + fact_anuncios[[#This Row],[frete]]) / (1 - fact_anuncios[[#This Row],[perc_comissao]])</f>
        <v>2454.2185795180726</v>
      </c>
      <c r="T32" s="9">
        <f>fact_anuncios[[#This Row],[atacado_1]] * 1.0254</f>
        <v>2516.555731437832</v>
      </c>
      <c r="U32" s="1" t="s">
        <v>7</v>
      </c>
    </row>
    <row r="33" spans="1:21" x14ac:dyDescent="0.3">
      <c r="A33" s="1">
        <v>1016</v>
      </c>
      <c r="B33" s="2" t="s">
        <v>303</v>
      </c>
      <c r="C33" s="2" t="s">
        <v>523</v>
      </c>
      <c r="D33" s="6" t="s">
        <v>476</v>
      </c>
      <c r="E33" s="1">
        <v>1</v>
      </c>
      <c r="F33" s="8">
        <v>1312.2570000000001</v>
      </c>
      <c r="G33" s="8">
        <v>1199.8499999999999</v>
      </c>
      <c r="H33" s="8">
        <f>fact_anuncios[[#This Row],[preco_unit]]*fact_anuncios[[#This Row],[quantidade_anuncio]]</f>
        <v>1312.2570000000001</v>
      </c>
      <c r="I33" s="11">
        <v>0.05</v>
      </c>
      <c r="J33" s="8">
        <f>fact_anuncios[[#This Row],[preco_min_unit]]*fact_anuncios[[#This Row],[quantidade_anuncio]]</f>
        <v>1199.8499999999999</v>
      </c>
      <c r="K33" s="1" t="s">
        <v>18</v>
      </c>
      <c r="L33" s="1">
        <v>0.17</v>
      </c>
      <c r="M33" s="9">
        <f>fact_anuncios[[#This Row],[preco_sugerido]]*fact_anuncios[[#This Row],[perc_comissao]]</f>
        <v>272.17097957045576</v>
      </c>
      <c r="N33" s="9">
        <v>24.65</v>
      </c>
      <c r="O33" s="4">
        <v>0.08</v>
      </c>
      <c r="P33" s="9">
        <f>fact_anuncios[[#This Row],[valor_tipo]]+fact_anuncios[[#This Row],[frete]]</f>
        <v>296.82097957045573</v>
      </c>
      <c r="Q33" s="9">
        <f>(fact_anuncios[[#This Row],[valor_tipo]]+fact_anuncios[[#This Row],[frete]])*(1+fact_anuncios[[#This Row],[markup_promo]])</f>
        <v>320.56665793609221</v>
      </c>
      <c r="R33" s="9">
        <f>((fact_anuncios[[#This Row],[valor_min_produto]] / (1-fact_anuncios[[#This Row],[markup_promo]])) +fact_anuncios[[#This Row],[frete]]) / (1 - fact_anuncios[[#This Row],[perc_comissao]])</f>
        <v>1601.0057621791514</v>
      </c>
      <c r="S33" s="9">
        <f>(fact_anuncios[[#This Row],[valor_min_produto]] + fact_anuncios[[#This Row],[frete]]) / (1 - fact_anuncios[[#This Row],[perc_comissao]])</f>
        <v>1475.3012048192772</v>
      </c>
      <c r="T33" s="9">
        <f>fact_anuncios[[#This Row],[atacado_1]] * 1.0254</f>
        <v>1512.7738554216871</v>
      </c>
      <c r="U33" s="1" t="s">
        <v>27</v>
      </c>
    </row>
    <row r="34" spans="1:21" x14ac:dyDescent="0.3">
      <c r="A34" s="1">
        <v>1017</v>
      </c>
      <c r="B34" s="2" t="s">
        <v>273</v>
      </c>
      <c r="C34" s="2" t="s">
        <v>440</v>
      </c>
      <c r="D34" s="6" t="s">
        <v>530</v>
      </c>
      <c r="E34" s="1">
        <v>1</v>
      </c>
      <c r="F34" s="8">
        <v>3955.05</v>
      </c>
      <c r="G34" s="8">
        <f>fact_anuncios[[#This Row],[preco_unit]]*(1-fact_anuncios[[#This Row],[perc_desconto_min]])</f>
        <v>3954.6544950000002</v>
      </c>
      <c r="H34" s="8">
        <f>fact_anuncios[[#This Row],[preco_unit]]*fact_anuncios[[#This Row],[quantidade_anuncio]]</f>
        <v>3955.05</v>
      </c>
      <c r="I34" s="1">
        <v>1E-4</v>
      </c>
      <c r="J34" s="8">
        <f>fact_anuncios[[#This Row],[preco_min_unit]]*fact_anuncios[[#This Row],[quantidade_anuncio]]</f>
        <v>3954.6544950000002</v>
      </c>
      <c r="K34" s="1" t="s">
        <v>18</v>
      </c>
      <c r="L34" s="1">
        <v>0.17</v>
      </c>
      <c r="M34" s="9">
        <f>fact_anuncios[[#This Row],[preco_sugerido]]*fact_anuncios[[#This Row],[perc_comissao]]</f>
        <v>896.53237840492409</v>
      </c>
      <c r="N34" s="9">
        <v>78.650000000000006</v>
      </c>
      <c r="O34" s="4">
        <v>0.08</v>
      </c>
      <c r="P34" s="9">
        <f>fact_anuncios[[#This Row],[valor_tipo]]+fact_anuncios[[#This Row],[frete]]</f>
        <v>975.18237840492407</v>
      </c>
      <c r="Q34" s="9">
        <f>(fact_anuncios[[#This Row],[valor_tipo]]+fact_anuncios[[#This Row],[frete]])*(1+fact_anuncios[[#This Row],[markup_promo]])</f>
        <v>1053.196968677318</v>
      </c>
      <c r="R34" s="9">
        <f>((fact_anuncios[[#This Row],[valor_min_produto]] / (1-fact_anuncios[[#This Row],[markup_promo]])) +fact_anuncios[[#This Row],[frete]]) / (1 - fact_anuncios[[#This Row],[perc_comissao]])</f>
        <v>5273.7198729701413</v>
      </c>
      <c r="S34" s="9">
        <f>(fact_anuncios[[#This Row],[valor_min_produto]] + fact_anuncios[[#This Row],[frete]]) / (1 - fact_anuncios[[#This Row],[perc_comissao]])</f>
        <v>4859.4030060240966</v>
      </c>
      <c r="T34" s="9">
        <f>fact_anuncios[[#This Row],[atacado_1]] * 1.0254</f>
        <v>4982.8318423771088</v>
      </c>
      <c r="U34" s="1" t="s">
        <v>6</v>
      </c>
    </row>
    <row r="35" spans="1:21" x14ac:dyDescent="0.3">
      <c r="A35" s="1">
        <v>1018</v>
      </c>
      <c r="B35" s="2" t="s">
        <v>265</v>
      </c>
      <c r="C35" s="2" t="s">
        <v>330</v>
      </c>
      <c r="D35" s="6" t="s">
        <v>477</v>
      </c>
      <c r="E35" s="1">
        <v>10</v>
      </c>
      <c r="F35" s="8">
        <v>19.866</v>
      </c>
      <c r="G35" s="8">
        <f>fact_anuncios[[#This Row],[preco_unit]]*(1-fact_anuncios[[#This Row],[perc_desconto_min]])</f>
        <v>18.177389999999999</v>
      </c>
      <c r="H35" s="8">
        <f>fact_anuncios[[#This Row],[preco_unit]]*fact_anuncios[[#This Row],[quantidade_anuncio]]</f>
        <v>198.66</v>
      </c>
      <c r="I35" s="1">
        <v>8.5000000000000006E-2</v>
      </c>
      <c r="J35" s="8">
        <f>fact_anuncios[[#This Row],[preco_min_unit]]*fact_anuncios[[#This Row],[quantidade_anuncio]]</f>
        <v>181.7739</v>
      </c>
      <c r="K35" s="1" t="s">
        <v>19</v>
      </c>
      <c r="L35" s="1">
        <v>0.11</v>
      </c>
      <c r="M35" s="9">
        <f>fact_anuncios[[#This Row],[preco_sugerido]]*fact_anuncios[[#This Row],[perc_comissao]]</f>
        <v>26.700377381533951</v>
      </c>
      <c r="N35" s="9">
        <v>18.45</v>
      </c>
      <c r="O35" s="4">
        <v>0.08</v>
      </c>
      <c r="P35" s="9">
        <f>fact_anuncios[[#This Row],[valor_tipo]]+fact_anuncios[[#This Row],[frete]]</f>
        <v>45.15037738153395</v>
      </c>
      <c r="Q35" s="9">
        <f>(fact_anuncios[[#This Row],[valor_tipo]]+fact_anuncios[[#This Row],[frete]])*(1+fact_anuncios[[#This Row],[markup_promo]])</f>
        <v>48.762407572056667</v>
      </c>
      <c r="R35" s="9">
        <f>((fact_anuncios[[#This Row],[valor_min_produto]] / (1-fact_anuncios[[#This Row],[markup_promo]])) +fact_anuncios[[#This Row],[frete]]) / (1 - fact_anuncios[[#This Row],[perc_comissao]])</f>
        <v>242.73070346849045</v>
      </c>
      <c r="S35" s="9">
        <f>(fact_anuncios[[#This Row],[valor_min_produto]] + fact_anuncios[[#This Row],[frete]]) / (1 - fact_anuncios[[#This Row],[perc_comissao]])</f>
        <v>224.97067415730336</v>
      </c>
      <c r="T35" s="9">
        <f>fact_anuncios[[#This Row],[atacado_1]] * 1.0254</f>
        <v>230.6849292808989</v>
      </c>
      <c r="U35" s="1" t="s">
        <v>4</v>
      </c>
    </row>
    <row r="36" spans="1:21" x14ac:dyDescent="0.3">
      <c r="A36" s="1">
        <v>1018</v>
      </c>
      <c r="B36" s="2" t="s">
        <v>266</v>
      </c>
      <c r="C36" s="2" t="s">
        <v>331</v>
      </c>
      <c r="D36" s="6" t="s">
        <v>477</v>
      </c>
      <c r="E36" s="1">
        <v>10</v>
      </c>
      <c r="F36" s="8">
        <v>19.866</v>
      </c>
      <c r="G36" s="8">
        <f>fact_anuncios[[#This Row],[preco_unit]]*(1-fact_anuncios[[#This Row],[perc_desconto_min]])</f>
        <v>18.177389999999999</v>
      </c>
      <c r="H36" s="8">
        <f>fact_anuncios[[#This Row],[preco_unit]]*fact_anuncios[[#This Row],[quantidade_anuncio]]</f>
        <v>198.66</v>
      </c>
      <c r="I36" s="1">
        <v>8.5000000000000006E-2</v>
      </c>
      <c r="J36" s="8">
        <f>fact_anuncios[[#This Row],[preco_min_unit]]*fact_anuncios[[#This Row],[quantidade_anuncio]]</f>
        <v>181.7739</v>
      </c>
      <c r="K36" s="1" t="s">
        <v>19</v>
      </c>
      <c r="L36" s="1">
        <v>0.11</v>
      </c>
      <c r="M36" s="9">
        <f>fact_anuncios[[#This Row],[preco_sugerido]]*fact_anuncios[[#This Row],[perc_comissao]]</f>
        <v>26.700377381533951</v>
      </c>
      <c r="N36" s="9">
        <v>18.45</v>
      </c>
      <c r="O36" s="4">
        <v>0.08</v>
      </c>
      <c r="P36" s="9">
        <f>fact_anuncios[[#This Row],[valor_tipo]]+fact_anuncios[[#This Row],[frete]]</f>
        <v>45.15037738153395</v>
      </c>
      <c r="Q36" s="9">
        <f>(fact_anuncios[[#This Row],[valor_tipo]]+fact_anuncios[[#This Row],[frete]])*(1+fact_anuncios[[#This Row],[markup_promo]])</f>
        <v>48.762407572056667</v>
      </c>
      <c r="R36" s="9">
        <f>((fact_anuncios[[#This Row],[valor_min_produto]] / (1-fact_anuncios[[#This Row],[markup_promo]])) +fact_anuncios[[#This Row],[frete]]) / (1 - fact_anuncios[[#This Row],[perc_comissao]])</f>
        <v>242.73070346849045</v>
      </c>
      <c r="S36" s="9">
        <f>(fact_anuncios[[#This Row],[valor_min_produto]] + fact_anuncios[[#This Row],[frete]]) / (1 - fact_anuncios[[#This Row],[perc_comissao]])</f>
        <v>224.97067415730336</v>
      </c>
      <c r="T36" s="9">
        <f>fact_anuncios[[#This Row],[atacado_1]] * 1.0254</f>
        <v>230.6849292808989</v>
      </c>
      <c r="U36" s="1" t="s">
        <v>4</v>
      </c>
    </row>
    <row r="37" spans="1:21" x14ac:dyDescent="0.3">
      <c r="A37" s="1">
        <v>1018</v>
      </c>
      <c r="B37" s="2" t="s">
        <v>267</v>
      </c>
      <c r="C37" s="2" t="s">
        <v>332</v>
      </c>
      <c r="D37" s="6" t="s">
        <v>477</v>
      </c>
      <c r="E37" s="1">
        <v>10</v>
      </c>
      <c r="F37" s="8">
        <v>19.866</v>
      </c>
      <c r="G37" s="8">
        <f>fact_anuncios[[#This Row],[preco_unit]]*(1-fact_anuncios[[#This Row],[perc_desconto_min]])</f>
        <v>18.177389999999999</v>
      </c>
      <c r="H37" s="8">
        <f>fact_anuncios[[#This Row],[preco_unit]]*fact_anuncios[[#This Row],[quantidade_anuncio]]</f>
        <v>198.66</v>
      </c>
      <c r="I37" s="1">
        <v>8.5000000000000006E-2</v>
      </c>
      <c r="J37" s="8">
        <f>fact_anuncios[[#This Row],[preco_min_unit]]*fact_anuncios[[#This Row],[quantidade_anuncio]]</f>
        <v>181.7739</v>
      </c>
      <c r="K37" s="1" t="s">
        <v>18</v>
      </c>
      <c r="L37" s="1">
        <v>0.14000000000000001</v>
      </c>
      <c r="M37" s="9">
        <f>fact_anuncios[[#This Row],[preco_sugerido]]*fact_anuncios[[#This Row],[perc_comissao]]</f>
        <v>35.542146107178972</v>
      </c>
      <c r="N37" s="9">
        <v>20.75</v>
      </c>
      <c r="O37" s="4">
        <v>0.08</v>
      </c>
      <c r="P37" s="9">
        <f>fact_anuncios[[#This Row],[valor_tipo]]+fact_anuncios[[#This Row],[frete]]</f>
        <v>56.292146107178972</v>
      </c>
      <c r="Q37" s="9">
        <f>(fact_anuncios[[#This Row],[valor_tipo]]+fact_anuncios[[#This Row],[frete]])*(1+fact_anuncios[[#This Row],[markup_promo]])</f>
        <v>60.795517795753291</v>
      </c>
      <c r="R37" s="9">
        <f>((fact_anuncios[[#This Row],[valor_min_produto]] / (1-fact_anuncios[[#This Row],[markup_promo]])) +fact_anuncios[[#This Row],[frete]]) / (1 - fact_anuncios[[#This Row],[perc_comissao]])</f>
        <v>253.8724721941355</v>
      </c>
      <c r="S37" s="9">
        <f>(fact_anuncios[[#This Row],[valor_min_produto]] + fact_anuncios[[#This Row],[frete]]) / (1 - fact_anuncios[[#This Row],[perc_comissao]])</f>
        <v>235.49290697674419</v>
      </c>
      <c r="T37" s="9">
        <f>fact_anuncios[[#This Row],[atacado_1]] * 1.0254</f>
        <v>241.47442681395353</v>
      </c>
      <c r="U37" s="1" t="s">
        <v>4</v>
      </c>
    </row>
    <row r="38" spans="1:21" x14ac:dyDescent="0.3">
      <c r="A38" s="1">
        <v>1018</v>
      </c>
      <c r="B38" s="2" t="s">
        <v>268</v>
      </c>
      <c r="C38" s="2" t="s">
        <v>333</v>
      </c>
      <c r="D38" s="6" t="s">
        <v>477</v>
      </c>
      <c r="E38" s="1">
        <v>10</v>
      </c>
      <c r="F38" s="8">
        <v>19.866</v>
      </c>
      <c r="G38" s="8">
        <f>fact_anuncios[[#This Row],[preco_unit]]*(1-fact_anuncios[[#This Row],[perc_desconto_min]])</f>
        <v>18.177389999999999</v>
      </c>
      <c r="H38" s="8">
        <f>fact_anuncios[[#This Row],[preco_unit]]*fact_anuncios[[#This Row],[quantidade_anuncio]]</f>
        <v>198.66</v>
      </c>
      <c r="I38" s="1">
        <v>8.5000000000000006E-2</v>
      </c>
      <c r="J38" s="8">
        <f>fact_anuncios[[#This Row],[preco_min_unit]]*fact_anuncios[[#This Row],[quantidade_anuncio]]</f>
        <v>181.7739</v>
      </c>
      <c r="K38" s="1" t="s">
        <v>18</v>
      </c>
      <c r="L38" s="1">
        <v>0.14000000000000001</v>
      </c>
      <c r="M38" s="9">
        <f>fact_anuncios[[#This Row],[preco_sugerido]]*fact_anuncios[[#This Row],[perc_comissao]]</f>
        <v>35.542146107178972</v>
      </c>
      <c r="N38" s="9">
        <v>20.75</v>
      </c>
      <c r="O38" s="4">
        <v>0.08</v>
      </c>
      <c r="P38" s="9">
        <f>fact_anuncios[[#This Row],[valor_tipo]]+fact_anuncios[[#This Row],[frete]]</f>
        <v>56.292146107178972</v>
      </c>
      <c r="Q38" s="9">
        <f>(fact_anuncios[[#This Row],[valor_tipo]]+fact_anuncios[[#This Row],[frete]])*(1+fact_anuncios[[#This Row],[markup_promo]])</f>
        <v>60.795517795753291</v>
      </c>
      <c r="R38" s="9">
        <f>((fact_anuncios[[#This Row],[valor_min_produto]] / (1-fact_anuncios[[#This Row],[markup_promo]])) +fact_anuncios[[#This Row],[frete]]) / (1 - fact_anuncios[[#This Row],[perc_comissao]])</f>
        <v>253.8724721941355</v>
      </c>
      <c r="S38" s="9">
        <f>(fact_anuncios[[#This Row],[valor_min_produto]] + fact_anuncios[[#This Row],[frete]]) / (1 - fact_anuncios[[#This Row],[perc_comissao]])</f>
        <v>235.49290697674419</v>
      </c>
      <c r="T38" s="9">
        <f>fact_anuncios[[#This Row],[atacado_1]] * 1.0254</f>
        <v>241.47442681395353</v>
      </c>
      <c r="U38" s="1" t="s">
        <v>4</v>
      </c>
    </row>
    <row r="39" spans="1:21" x14ac:dyDescent="0.3">
      <c r="A39" s="1">
        <v>1019</v>
      </c>
      <c r="B39" s="2" t="s">
        <v>223</v>
      </c>
      <c r="C39" s="2" t="s">
        <v>441</v>
      </c>
      <c r="D39" s="6" t="s">
        <v>531</v>
      </c>
      <c r="E39" s="1">
        <v>1</v>
      </c>
      <c r="F39" s="8">
        <v>614.91539999999998</v>
      </c>
      <c r="G39" s="8">
        <f>fact_anuncios[[#This Row],[preco_unit]]*(1-fact_anuncios[[#This Row],[perc_desconto_min]])</f>
        <v>569.41166039999996</v>
      </c>
      <c r="H39" s="8">
        <f>fact_anuncios[[#This Row],[preco_unit]]*fact_anuncios[[#This Row],[quantidade_anuncio]]</f>
        <v>614.91539999999998</v>
      </c>
      <c r="I39" s="1">
        <v>7.400000000000001E-2</v>
      </c>
      <c r="J39" s="8">
        <f>fact_anuncios[[#This Row],[preco_min_unit]]*fact_anuncios[[#This Row],[quantidade_anuncio]]</f>
        <v>569.41166039999996</v>
      </c>
      <c r="K39" s="1" t="s">
        <v>18</v>
      </c>
      <c r="L39" s="1">
        <v>0.14000000000000001</v>
      </c>
      <c r="M39" s="9">
        <f>fact_anuncios[[#This Row],[preco_sugerido]]*fact_anuncios[[#This Row],[perc_comissao]]</f>
        <v>104.16581452982811</v>
      </c>
      <c r="N39" s="9">
        <v>20.95</v>
      </c>
      <c r="O39" s="4">
        <v>0.08</v>
      </c>
      <c r="P39" s="9">
        <f>fact_anuncios[[#This Row],[valor_tipo]]+fact_anuncios[[#This Row],[frete]]</f>
        <v>125.11581452982811</v>
      </c>
      <c r="Q39" s="9">
        <f>(fact_anuncios[[#This Row],[valor_tipo]]+fact_anuncios[[#This Row],[frete]])*(1+fact_anuncios[[#This Row],[markup_promo]])</f>
        <v>135.12507969221437</v>
      </c>
      <c r="R39" s="9">
        <f>((fact_anuncios[[#This Row],[valor_min_produto]] / (1-fact_anuncios[[#This Row],[markup_promo]])) +fact_anuncios[[#This Row],[frete]]) / (1 - fact_anuncios[[#This Row],[perc_comissao]])</f>
        <v>744.04153235591502</v>
      </c>
      <c r="S39" s="9">
        <f>(fact_anuncios[[#This Row],[valor_min_produto]] + fact_anuncios[[#This Row],[frete]]) / (1 - fact_anuncios[[#This Row],[perc_comissao]])</f>
        <v>686.4670469767442</v>
      </c>
      <c r="T39" s="9">
        <f>fact_anuncios[[#This Row],[atacado_1]] * 1.0254</f>
        <v>703.90330996995351</v>
      </c>
      <c r="U39" s="1" t="s">
        <v>7</v>
      </c>
    </row>
    <row r="40" spans="1:21" x14ac:dyDescent="0.3">
      <c r="A40" s="1">
        <v>1019</v>
      </c>
      <c r="B40" s="2" t="s">
        <v>224</v>
      </c>
      <c r="C40" s="2" t="s">
        <v>334</v>
      </c>
      <c r="D40" s="6" t="s">
        <v>531</v>
      </c>
      <c r="E40" s="1">
        <v>5</v>
      </c>
      <c r="F40" s="8">
        <v>614.91539999999998</v>
      </c>
      <c r="G40" s="8">
        <f>fact_anuncios[[#This Row],[preco_unit]]*(1-fact_anuncios[[#This Row],[perc_desconto_min]])</f>
        <v>569.41166039999996</v>
      </c>
      <c r="H40" s="8">
        <f>fact_anuncios[[#This Row],[preco_unit]]*fact_anuncios[[#This Row],[quantidade_anuncio]]</f>
        <v>3074.5769999999998</v>
      </c>
      <c r="I40" s="1">
        <v>7.3999999999999996E-2</v>
      </c>
      <c r="J40" s="8">
        <f>fact_anuncios[[#This Row],[preco_min_unit]]*fact_anuncios[[#This Row],[quantidade_anuncio]]</f>
        <v>2847.0583019999999</v>
      </c>
      <c r="K40" s="1" t="s">
        <v>18</v>
      </c>
      <c r="L40" s="1">
        <v>0.17</v>
      </c>
      <c r="M40" s="9">
        <f>fact_anuncios[[#This Row],[preco_sugerido]]*fact_anuncios[[#This Row],[perc_comissao]]</f>
        <v>638.45826524358313</v>
      </c>
      <c r="N40" s="9">
        <v>22.55</v>
      </c>
      <c r="O40" s="4">
        <v>0.08</v>
      </c>
      <c r="P40" s="9">
        <f>fact_anuncios[[#This Row],[valor_tipo]]+fact_anuncios[[#This Row],[frete]]</f>
        <v>661.00826524358308</v>
      </c>
      <c r="Q40" s="9">
        <f>(fact_anuncios[[#This Row],[valor_tipo]]+fact_anuncios[[#This Row],[frete]])*(1+fact_anuncios[[#This Row],[markup_promo]])</f>
        <v>713.88892646306977</v>
      </c>
      <c r="R40" s="9">
        <f>((fact_anuncios[[#This Row],[valor_min_produto]] / (1-fact_anuncios[[#This Row],[markup_promo]])) +fact_anuncios[[#This Row],[frete]]) / (1 - fact_anuncios[[#This Row],[perc_comissao]])</f>
        <v>3755.6368543740182</v>
      </c>
      <c r="S40" s="9">
        <f>(fact_anuncios[[#This Row],[valor_min_produto]] + fact_anuncios[[#This Row],[frete]]) / (1 - fact_anuncios[[#This Row],[perc_comissao]])</f>
        <v>3457.3594000000003</v>
      </c>
      <c r="T40" s="9">
        <f>fact_anuncios[[#This Row],[atacado_1]] * 1.0254</f>
        <v>3545.1763287600006</v>
      </c>
      <c r="U40" s="1" t="s">
        <v>7</v>
      </c>
    </row>
    <row r="41" spans="1:21" x14ac:dyDescent="0.3">
      <c r="A41" s="1">
        <v>1020</v>
      </c>
      <c r="B41" s="2" t="s">
        <v>225</v>
      </c>
      <c r="C41" s="2" t="s">
        <v>335</v>
      </c>
      <c r="D41" s="6" t="s">
        <v>525</v>
      </c>
      <c r="E41" s="1">
        <v>10</v>
      </c>
      <c r="F41" s="8">
        <v>5.6029999999999998</v>
      </c>
      <c r="G41" s="8">
        <f>fact_anuncios[[#This Row],[preco_unit]]*(1-fact_anuncios[[#This Row],[perc_desconto_min]])</f>
        <v>5.0427</v>
      </c>
      <c r="H41" s="8">
        <f>fact_anuncios[[#This Row],[preco_unit]]*fact_anuncios[[#This Row],[quantidade_anuncio]]</f>
        <v>56.03</v>
      </c>
      <c r="I41" s="1">
        <v>0.1</v>
      </c>
      <c r="J41" s="8">
        <f>fact_anuncios[[#This Row],[preco_min_unit]]*fact_anuncios[[#This Row],[quantidade_anuncio]]</f>
        <v>50.427</v>
      </c>
      <c r="K41" s="1" t="s">
        <v>18</v>
      </c>
      <c r="L41" s="1">
        <v>0.17</v>
      </c>
      <c r="M41" s="9">
        <f>fact_anuncios[[#This Row],[preco_sugerido]]*fact_anuncios[[#This Row],[perc_comissao]]</f>
        <v>14.063292299633316</v>
      </c>
      <c r="N41" s="9">
        <v>13.85</v>
      </c>
      <c r="O41" s="4">
        <v>0.08</v>
      </c>
      <c r="P41" s="9">
        <f>fact_anuncios[[#This Row],[valor_tipo]]+fact_anuncios[[#This Row],[frete]]</f>
        <v>27.913292299633316</v>
      </c>
      <c r="Q41" s="9">
        <f>(fact_anuncios[[#This Row],[valor_tipo]]+fact_anuncios[[#This Row],[frete]])*(1+fact_anuncios[[#This Row],[markup_promo]])</f>
        <v>30.146355683603982</v>
      </c>
      <c r="R41" s="9">
        <f>((fact_anuncios[[#This Row],[valor_min_produto]] / (1-fact_anuncios[[#This Row],[markup_promo]])) +fact_anuncios[[#This Row],[frete]]) / (1 - fact_anuncios[[#This Row],[perc_comissao]])</f>
        <v>82.725248821372446</v>
      </c>
      <c r="S41" s="9">
        <f>(fact_anuncios[[#This Row],[valor_min_produto]] + fact_anuncios[[#This Row],[frete]]) / (1 - fact_anuncios[[#This Row],[perc_comissao]])</f>
        <v>77.442168674698806</v>
      </c>
      <c r="T41" s="9">
        <f>fact_anuncios[[#This Row],[atacado_1]] * 1.0254</f>
        <v>79.409199759036156</v>
      </c>
      <c r="U41" s="1" t="s">
        <v>21</v>
      </c>
    </row>
    <row r="42" spans="1:21" x14ac:dyDescent="0.3">
      <c r="A42" s="1">
        <v>1021</v>
      </c>
      <c r="B42" s="2" t="s">
        <v>298</v>
      </c>
      <c r="C42" s="2" t="s">
        <v>442</v>
      </c>
      <c r="D42" s="12" t="s">
        <v>532</v>
      </c>
      <c r="E42" s="1">
        <v>1</v>
      </c>
      <c r="F42" s="8">
        <v>77.573800000000006</v>
      </c>
      <c r="G42" s="8">
        <f>fact_anuncios[[#This Row],[preco_unit]]*(1-fact_anuncios[[#This Row],[perc_desconto_min]])</f>
        <v>69.816420000000008</v>
      </c>
      <c r="H42" s="8">
        <f>fact_anuncios[[#This Row],[preco_unit]]*fact_anuncios[[#This Row],[quantidade_anuncio]]</f>
        <v>77.573800000000006</v>
      </c>
      <c r="I42" s="1">
        <v>0.1</v>
      </c>
      <c r="J42" s="8">
        <f>fact_anuncios[[#This Row],[preco_min_unit]]*fact_anuncios[[#This Row],[quantidade_anuncio]]</f>
        <v>69.816420000000008</v>
      </c>
      <c r="K42" s="1" t="s">
        <v>18</v>
      </c>
      <c r="L42" s="1">
        <v>0.17</v>
      </c>
      <c r="M42" s="9">
        <f>fact_anuncios[[#This Row],[preco_sugerido]]*fact_anuncios[[#This Row],[perc_comissao]]</f>
        <v>18.072723153483501</v>
      </c>
      <c r="N42" s="9">
        <v>12.35</v>
      </c>
      <c r="O42" s="4">
        <v>0.08</v>
      </c>
      <c r="P42" s="9">
        <f>fact_anuncios[[#This Row],[valor_tipo]]+fact_anuncios[[#This Row],[frete]]</f>
        <v>30.422723153483503</v>
      </c>
      <c r="Q42" s="9">
        <f>(fact_anuncios[[#This Row],[valor_tipo]]+fact_anuncios[[#This Row],[frete]])*(1+fact_anuncios[[#This Row],[markup_promo]])</f>
        <v>32.856541005762182</v>
      </c>
      <c r="R42" s="9">
        <f>((fact_anuncios[[#This Row],[valor_min_produto]] / (1-fact_anuncios[[#This Row],[markup_promo]])) +fact_anuncios[[#This Row],[frete]]) / (1 - fact_anuncios[[#This Row],[perc_comissao]])</f>
        <v>106.31013619696176</v>
      </c>
      <c r="S42" s="9">
        <f>(fact_anuncios[[#This Row],[valor_min_produto]] + fact_anuncios[[#This Row],[frete]]) / (1 - fact_anuncios[[#This Row],[perc_comissao]])</f>
        <v>98.995686746987957</v>
      </c>
      <c r="T42" s="9">
        <f>fact_anuncios[[#This Row],[atacado_1]] * 1.0254</f>
        <v>101.51017719036146</v>
      </c>
      <c r="U42" s="1" t="s">
        <v>28</v>
      </c>
    </row>
    <row r="43" spans="1:21" x14ac:dyDescent="0.3">
      <c r="A43" s="1">
        <v>1022</v>
      </c>
      <c r="B43" s="2" t="s">
        <v>287</v>
      </c>
      <c r="C43" s="2" t="s">
        <v>443</v>
      </c>
      <c r="D43" s="6" t="s">
        <v>533</v>
      </c>
      <c r="E43" s="1">
        <v>1</v>
      </c>
      <c r="F43" s="8">
        <v>26559</v>
      </c>
      <c r="G43" s="8">
        <f>fact_anuncios[[#This Row],[preco_unit]]*(1-fact_anuncios[[#This Row],[perc_desconto_min]])</f>
        <v>26556.344100000002</v>
      </c>
      <c r="H43" s="8">
        <f>fact_anuncios[[#This Row],[preco_unit]]*fact_anuncios[[#This Row],[quantidade_anuncio]]</f>
        <v>26559</v>
      </c>
      <c r="I43" s="1">
        <v>1E-4</v>
      </c>
      <c r="J43" s="8">
        <f>fact_anuncios[[#This Row],[preco_min_unit]]*fact_anuncios[[#This Row],[quantidade_anuncio]]</f>
        <v>26556.344100000002</v>
      </c>
      <c r="K43" s="1" t="s">
        <v>18</v>
      </c>
      <c r="L43" s="1">
        <v>0.17</v>
      </c>
      <c r="M43" s="9">
        <f>fact_anuncios[[#This Row],[preco_sugerido]]*fact_anuncios[[#This Row],[perc_comissao]]</f>
        <v>5912.2316147197489</v>
      </c>
      <c r="N43" s="9">
        <v>0.01</v>
      </c>
      <c r="O43" s="4">
        <v>0.08</v>
      </c>
      <c r="P43" s="9">
        <f>fact_anuncios[[#This Row],[valor_tipo]]+fact_anuncios[[#This Row],[frete]]</f>
        <v>5912.2416147197491</v>
      </c>
      <c r="Q43" s="9">
        <f>(fact_anuncios[[#This Row],[valor_tipo]]+fact_anuncios[[#This Row],[frete]])*(1+fact_anuncios[[#This Row],[markup_promo]])</f>
        <v>6385.2209438973296</v>
      </c>
      <c r="R43" s="9">
        <f>((fact_anuncios[[#This Row],[valor_min_produto]] / (1-fact_anuncios[[#This Row],[markup_promo]])) +fact_anuncios[[#This Row],[frete]]) / (1 - fact_anuncios[[#This Row],[perc_comissao]])</f>
        <v>34777.833027763227</v>
      </c>
      <c r="S43" s="9">
        <f>(fact_anuncios[[#This Row],[valor_min_produto]] + fact_anuncios[[#This Row],[frete]]) / (1 - fact_anuncios[[#This Row],[perc_comissao]])</f>
        <v>31995.607349397593</v>
      </c>
      <c r="T43" s="9">
        <f>fact_anuncios[[#This Row],[atacado_1]] * 1.0254</f>
        <v>32808.295776072293</v>
      </c>
      <c r="U43" s="1" t="s">
        <v>6</v>
      </c>
    </row>
    <row r="44" spans="1:21" x14ac:dyDescent="0.3">
      <c r="A44" s="1">
        <v>1023</v>
      </c>
      <c r="B44" s="2" t="s">
        <v>275</v>
      </c>
      <c r="C44" s="2" t="s">
        <v>444</v>
      </c>
      <c r="D44" s="6" t="s">
        <v>478</v>
      </c>
      <c r="E44" s="1">
        <v>1</v>
      </c>
      <c r="F44" s="8">
        <v>474.17059999999998</v>
      </c>
      <c r="G44" s="8">
        <f>fact_anuncios[[#This Row],[preco_unit]]*(1-fact_anuncios[[#This Row],[perc_desconto_min]])</f>
        <v>439.08197560000002</v>
      </c>
      <c r="H44" s="8">
        <f>fact_anuncios[[#This Row],[preco_unit]]*fact_anuncios[[#This Row],[quantidade_anuncio]]</f>
        <v>474.17059999999998</v>
      </c>
      <c r="I44" s="1">
        <v>7.3999999999999996E-2</v>
      </c>
      <c r="J44" s="8">
        <f>fact_anuncios[[#This Row],[preco_min_unit]]*fact_anuncios[[#This Row],[quantidade_anuncio]]</f>
        <v>439.08197560000002</v>
      </c>
      <c r="K44" s="1" t="s">
        <v>18</v>
      </c>
      <c r="L44" s="1">
        <v>0.14000000000000001</v>
      </c>
      <c r="M44" s="9">
        <f>fact_anuncios[[#This Row],[preco_sugerido]]*fact_anuncios[[#This Row],[perc_comissao]]</f>
        <v>81.104444620829128</v>
      </c>
      <c r="N44" s="9">
        <v>20.95</v>
      </c>
      <c r="O44" s="4">
        <v>0.08</v>
      </c>
      <c r="P44" s="9">
        <f>fact_anuncios[[#This Row],[valor_tipo]]+fact_anuncios[[#This Row],[frete]]</f>
        <v>102.05444462082913</v>
      </c>
      <c r="Q44" s="9">
        <f>(fact_anuncios[[#This Row],[valor_tipo]]+fact_anuncios[[#This Row],[frete]])*(1+fact_anuncios[[#This Row],[markup_promo]])</f>
        <v>110.21880019049547</v>
      </c>
      <c r="R44" s="9">
        <f>((fact_anuncios[[#This Row],[valor_min_produto]] / (1-fact_anuncios[[#This Row],[markup_promo]])) +fact_anuncios[[#This Row],[frete]]) / (1 - fact_anuncios[[#This Row],[perc_comissao]])</f>
        <v>579.31746157735085</v>
      </c>
      <c r="S44" s="9">
        <f>(fact_anuncios[[#This Row],[valor_min_produto]] + fact_anuncios[[#This Row],[frete]]) / (1 - fact_anuncios[[#This Row],[perc_comissao]])</f>
        <v>534.92090186046516</v>
      </c>
      <c r="T44" s="9">
        <f>fact_anuncios[[#This Row],[atacado_1]] * 1.0254</f>
        <v>548.50789276772105</v>
      </c>
      <c r="U44" s="1" t="s">
        <v>7</v>
      </c>
    </row>
    <row r="45" spans="1:21" x14ac:dyDescent="0.3">
      <c r="A45" s="1">
        <v>1023</v>
      </c>
      <c r="B45" s="2" t="s">
        <v>276</v>
      </c>
      <c r="C45" s="2" t="s">
        <v>336</v>
      </c>
      <c r="D45" s="6" t="s">
        <v>478</v>
      </c>
      <c r="E45" s="1">
        <v>5</v>
      </c>
      <c r="F45" s="8">
        <v>474.17059999999998</v>
      </c>
      <c r="G45" s="8">
        <f>fact_anuncios[[#This Row],[preco_unit]]*(1-fact_anuncios[[#This Row],[perc_desconto_min]])</f>
        <v>439.08197559999996</v>
      </c>
      <c r="H45" s="8">
        <f>fact_anuncios[[#This Row],[preco_unit]]*fact_anuncios[[#This Row],[quantidade_anuncio]]</f>
        <v>2370.8530000000001</v>
      </c>
      <c r="I45" s="1">
        <v>7.400000000000001E-2</v>
      </c>
      <c r="J45" s="8">
        <f>fact_anuncios[[#This Row],[preco_min_unit]]*fact_anuncios[[#This Row],[quantidade_anuncio]]</f>
        <v>2195.4098779999999</v>
      </c>
      <c r="K45" s="1" t="s">
        <v>18</v>
      </c>
      <c r="L45" s="1">
        <v>0.17</v>
      </c>
      <c r="M45" s="9">
        <f>fact_anuncios[[#This Row],[preco_sugerido]]*fact_anuncios[[#This Row],[perc_comissao]]</f>
        <v>493.38200531691996</v>
      </c>
      <c r="N45" s="9">
        <v>22.55</v>
      </c>
      <c r="O45" s="4">
        <v>0.08</v>
      </c>
      <c r="P45" s="9">
        <f>fact_anuncios[[#This Row],[valor_tipo]]+fact_anuncios[[#This Row],[frete]]</f>
        <v>515.93200531691991</v>
      </c>
      <c r="Q45" s="9">
        <f>(fact_anuncios[[#This Row],[valor_tipo]]+fact_anuncios[[#This Row],[frete]])*(1+fact_anuncios[[#This Row],[markup_promo]])</f>
        <v>557.2065657422736</v>
      </c>
      <c r="R45" s="9">
        <f>((fact_anuncios[[#This Row],[valor_min_produto]] / (1-fact_anuncios[[#This Row],[markup_promo]])) +fact_anuncios[[#This Row],[frete]]) / (1 - fact_anuncios[[#This Row],[perc_comissao]])</f>
        <v>2902.247090099529</v>
      </c>
      <c r="S45" s="9">
        <f>(fact_anuncios[[#This Row],[valor_min_produto]] + fact_anuncios[[#This Row],[frete]]) / (1 - fact_anuncios[[#This Row],[perc_comissao]])</f>
        <v>2672.2408168674701</v>
      </c>
      <c r="T45" s="9">
        <f>fact_anuncios[[#This Row],[atacado_1]] * 1.0254</f>
        <v>2740.115733615904</v>
      </c>
      <c r="U45" s="1" t="s">
        <v>7</v>
      </c>
    </row>
    <row r="46" spans="1:21" x14ac:dyDescent="0.3">
      <c r="A46" s="1">
        <v>1023</v>
      </c>
      <c r="B46" s="2" t="s">
        <v>277</v>
      </c>
      <c r="C46" s="2" t="s">
        <v>337</v>
      </c>
      <c r="D46" s="6" t="s">
        <v>478</v>
      </c>
      <c r="E46" s="1">
        <v>1</v>
      </c>
      <c r="F46" s="8">
        <v>474.17059999999998</v>
      </c>
      <c r="G46" s="8">
        <f>fact_anuncios[[#This Row],[preco_unit]]*(1-fact_anuncios[[#This Row],[perc_desconto_min]])</f>
        <v>439.08197560000002</v>
      </c>
      <c r="H46" s="8">
        <f>fact_anuncios[[#This Row],[preco_unit]]*fact_anuncios[[#This Row],[quantidade_anuncio]]</f>
        <v>474.17059999999998</v>
      </c>
      <c r="I46" s="1">
        <v>7.3999999999999996E-2</v>
      </c>
      <c r="J46" s="8">
        <f>fact_anuncios[[#This Row],[preco_min_unit]]*fact_anuncios[[#This Row],[quantidade_anuncio]]</f>
        <v>439.08197560000002</v>
      </c>
      <c r="K46" s="1" t="s">
        <v>18</v>
      </c>
      <c r="L46" s="1">
        <v>0.14000000000000001</v>
      </c>
      <c r="M46" s="9">
        <f>fact_anuncios[[#This Row],[preco_sugerido]]*fact_anuncios[[#This Row],[perc_comissao]]</f>
        <v>81.104444620829128</v>
      </c>
      <c r="N46" s="9">
        <v>20.95</v>
      </c>
      <c r="O46" s="4">
        <v>0.08</v>
      </c>
      <c r="P46" s="9">
        <f>fact_anuncios[[#This Row],[valor_tipo]]+fact_anuncios[[#This Row],[frete]]</f>
        <v>102.05444462082913</v>
      </c>
      <c r="Q46" s="9">
        <f>(fact_anuncios[[#This Row],[valor_tipo]]+fact_anuncios[[#This Row],[frete]])*(1+fact_anuncios[[#This Row],[markup_promo]])</f>
        <v>110.21880019049547</v>
      </c>
      <c r="R46" s="9">
        <f>((fact_anuncios[[#This Row],[valor_min_produto]] / (1-fact_anuncios[[#This Row],[markup_promo]])) +fact_anuncios[[#This Row],[frete]]) / (1 - fact_anuncios[[#This Row],[perc_comissao]])</f>
        <v>579.31746157735085</v>
      </c>
      <c r="S46" s="9">
        <f>(fact_anuncios[[#This Row],[valor_min_produto]] + fact_anuncios[[#This Row],[frete]]) / (1 - fact_anuncios[[#This Row],[perc_comissao]])</f>
        <v>534.92090186046516</v>
      </c>
      <c r="T46" s="9">
        <f>fact_anuncios[[#This Row],[atacado_1]] * 1.0254</f>
        <v>548.50789276772105</v>
      </c>
      <c r="U46" s="1" t="s">
        <v>7</v>
      </c>
    </row>
    <row r="47" spans="1:21" x14ac:dyDescent="0.3">
      <c r="A47" s="1">
        <v>1024</v>
      </c>
      <c r="B47" s="2" t="s">
        <v>202</v>
      </c>
      <c r="C47" s="2" t="s">
        <v>338</v>
      </c>
      <c r="D47" s="6" t="s">
        <v>526</v>
      </c>
      <c r="E47" s="1">
        <v>5</v>
      </c>
      <c r="F47" s="8">
        <v>338.69099999999997</v>
      </c>
      <c r="G47" s="8">
        <f>fact_anuncios[[#This Row],[preco_unit]]*(1-fact_anuncios[[#This Row],[perc_desconto_min]])</f>
        <v>313.62786599999993</v>
      </c>
      <c r="H47" s="8">
        <f>fact_anuncios[[#This Row],[preco_unit]]*fact_anuncios[[#This Row],[quantidade_anuncio]]</f>
        <v>1693.4549999999999</v>
      </c>
      <c r="I47" s="1">
        <v>7.400000000000001E-2</v>
      </c>
      <c r="J47" s="8">
        <f>fact_anuncios[[#This Row],[preco_min_unit]]*fact_anuncios[[#This Row],[quantidade_anuncio]]</f>
        <v>1568.1393299999995</v>
      </c>
      <c r="K47" s="1" t="s">
        <v>18</v>
      </c>
      <c r="L47" s="1">
        <v>0.17</v>
      </c>
      <c r="M47" s="9">
        <f>fact_anuncios[[#This Row],[preco_sugerido]]*fact_anuncios[[#This Row],[perc_comissao]]</f>
        <v>353.73298336825553</v>
      </c>
      <c r="N47" s="9">
        <v>22.55</v>
      </c>
      <c r="O47" s="4">
        <v>0.08</v>
      </c>
      <c r="P47" s="9">
        <f>fact_anuncios[[#This Row],[valor_tipo]]+fact_anuncios[[#This Row],[frete]]</f>
        <v>376.28298336825554</v>
      </c>
      <c r="Q47" s="9">
        <f>(fact_anuncios[[#This Row],[valor_tipo]]+fact_anuncios[[#This Row],[frete]])*(1+fact_anuncios[[#This Row],[markup_promo]])</f>
        <v>406.38562203771602</v>
      </c>
      <c r="R47" s="9">
        <f>((fact_anuncios[[#This Row],[valor_min_produto]] / (1-fact_anuncios[[#This Row],[markup_promo]])) +fact_anuncios[[#This Row],[frete]]) / (1 - fact_anuncios[[#This Row],[perc_comissao]])</f>
        <v>2080.7822551073855</v>
      </c>
      <c r="S47" s="9">
        <f>(fact_anuncios[[#This Row],[valor_min_produto]] + fact_anuncios[[#This Row],[frete]]) / (1 - fact_anuncios[[#This Row],[perc_comissao]])</f>
        <v>1916.4931686746982</v>
      </c>
      <c r="T47" s="9">
        <f>fact_anuncios[[#This Row],[atacado_1]] * 1.0254</f>
        <v>1965.1720951590357</v>
      </c>
      <c r="U47" s="1" t="s">
        <v>7</v>
      </c>
    </row>
    <row r="48" spans="1:21" x14ac:dyDescent="0.3">
      <c r="A48" s="1">
        <v>1025</v>
      </c>
      <c r="B48" s="2" t="s">
        <v>169</v>
      </c>
      <c r="C48" s="2" t="s">
        <v>339</v>
      </c>
      <c r="D48" s="6" t="s">
        <v>479</v>
      </c>
      <c r="E48" s="1">
        <v>10</v>
      </c>
      <c r="F48" s="8">
        <v>61.477800000000002</v>
      </c>
      <c r="G48" s="8">
        <f>fact_anuncios[[#This Row],[preco_unit]]*(1-fact_anuncios[[#This Row],[perc_desconto_min]])</f>
        <v>54.715242000000003</v>
      </c>
      <c r="H48" s="8">
        <f>fact_anuncios[[#This Row],[preco_unit]]*fact_anuncios[[#This Row],[quantidade_anuncio]]</f>
        <v>614.77800000000002</v>
      </c>
      <c r="I48" s="1">
        <v>0.11</v>
      </c>
      <c r="J48" s="8">
        <f>fact_anuncios[[#This Row],[preco_min_unit]]*fact_anuncios[[#This Row],[quantidade_anuncio]]</f>
        <v>547.15242000000001</v>
      </c>
      <c r="K48" s="1" t="s">
        <v>18</v>
      </c>
      <c r="L48" s="1">
        <v>0.14000000000000001</v>
      </c>
      <c r="M48" s="9">
        <f>fact_anuncios[[#This Row],[preco_sugerido]]*fact_anuncios[[#This Row],[perc_comissao]]</f>
        <v>100.6666567239636</v>
      </c>
      <c r="N48" s="9">
        <v>23.65</v>
      </c>
      <c r="O48" s="4">
        <v>0.08</v>
      </c>
      <c r="P48" s="9">
        <f>fact_anuncios[[#This Row],[valor_tipo]]+fact_anuncios[[#This Row],[frete]]</f>
        <v>124.3166567239636</v>
      </c>
      <c r="Q48" s="9">
        <f>(fact_anuncios[[#This Row],[valor_tipo]]+fact_anuncios[[#This Row],[frete]])*(1+fact_anuncios[[#This Row],[markup_promo]])</f>
        <v>134.2619892618807</v>
      </c>
      <c r="R48" s="9">
        <f>((fact_anuncios[[#This Row],[valor_min_produto]] / (1-fact_anuncios[[#This Row],[markup_promo]])) +fact_anuncios[[#This Row],[frete]]) / (1 - fact_anuncios[[#This Row],[perc_comissao]])</f>
        <v>719.04754802831133</v>
      </c>
      <c r="S48" s="9">
        <f>(fact_anuncios[[#This Row],[valor_min_produto]] + fact_anuncios[[#This Row],[frete]]) / (1 - fact_anuncios[[#This Row],[perc_comissao]])</f>
        <v>663.72374418604647</v>
      </c>
      <c r="T48" s="9">
        <f>fact_anuncios[[#This Row],[atacado_1]] * 1.0254</f>
        <v>680.58232728837208</v>
      </c>
      <c r="U48" s="1" t="s">
        <v>4</v>
      </c>
    </row>
    <row r="49" spans="1:21" x14ac:dyDescent="0.3">
      <c r="A49" s="1">
        <v>1026</v>
      </c>
      <c r="B49" s="2" t="s">
        <v>204</v>
      </c>
      <c r="C49" s="2" t="s">
        <v>445</v>
      </c>
      <c r="D49" s="6" t="s">
        <v>480</v>
      </c>
      <c r="E49" s="1">
        <v>1</v>
      </c>
      <c r="F49" s="8">
        <v>802.74310000000003</v>
      </c>
      <c r="G49" s="8">
        <f>fact_anuncios[[#This Row],[preco_unit]]*(1-fact_anuncios[[#This Row],[perc_desconto_min]])</f>
        <v>730.49622100000011</v>
      </c>
      <c r="H49" s="8">
        <f>fact_anuncios[[#This Row],[preco_unit]]*fact_anuncios[[#This Row],[quantidade_anuncio]]</f>
        <v>802.74310000000003</v>
      </c>
      <c r="I49" s="1">
        <v>0.09</v>
      </c>
      <c r="J49" s="8">
        <f>fact_anuncios[[#This Row],[preco_min_unit]]*fact_anuncios[[#This Row],[quantidade_anuncio]]</f>
        <v>730.49622100000011</v>
      </c>
      <c r="K49" s="1" t="s">
        <v>18</v>
      </c>
      <c r="L49" s="1">
        <v>0.17</v>
      </c>
      <c r="M49" s="9">
        <f>fact_anuncios[[#This Row],[preco_sugerido]]*fact_anuncios[[#This Row],[perc_comissao]]</f>
        <v>168.92831007071769</v>
      </c>
      <c r="N49" s="9">
        <v>30.75</v>
      </c>
      <c r="O49" s="4">
        <v>0.08</v>
      </c>
      <c r="P49" s="9">
        <f>fact_anuncios[[#This Row],[valor_tipo]]+fact_anuncios[[#This Row],[frete]]</f>
        <v>199.67831007071769</v>
      </c>
      <c r="Q49" s="9">
        <f>(fact_anuncios[[#This Row],[valor_tipo]]+fact_anuncios[[#This Row],[frete]])*(1+fact_anuncios[[#This Row],[markup_promo]])</f>
        <v>215.65257487637513</v>
      </c>
      <c r="R49" s="9">
        <f>((fact_anuncios[[#This Row],[valor_min_produto]] / (1-fact_anuncios[[#This Row],[markup_promo]])) +fact_anuncios[[#This Row],[frete]]) / (1 - fact_anuncios[[#This Row],[perc_comissao]])</f>
        <v>993.69594159245685</v>
      </c>
      <c r="S49" s="9">
        <f>(fact_anuncios[[#This Row],[valor_min_produto]] + fact_anuncios[[#This Row],[frete]]) / (1 - fact_anuncios[[#This Row],[perc_comissao]])</f>
        <v>917.16412168674719</v>
      </c>
      <c r="T49" s="9">
        <f>fact_anuncios[[#This Row],[atacado_1]] * 1.0254</f>
        <v>940.46009037759063</v>
      </c>
      <c r="U49" s="1" t="s">
        <v>21</v>
      </c>
    </row>
    <row r="50" spans="1:21" x14ac:dyDescent="0.3">
      <c r="A50" s="1">
        <v>1027</v>
      </c>
      <c r="B50" s="2" t="s">
        <v>274</v>
      </c>
      <c r="C50" s="2" t="s">
        <v>446</v>
      </c>
      <c r="D50" s="6" t="s">
        <v>534</v>
      </c>
      <c r="E50" s="1">
        <v>1</v>
      </c>
      <c r="F50" s="8">
        <v>111428.96</v>
      </c>
      <c r="G50" s="8">
        <f>fact_anuncios[[#This Row],[preco_unit]]*(1-fact_anuncios[[#This Row],[perc_desconto_min]])</f>
        <v>111417.817104</v>
      </c>
      <c r="H50" s="8">
        <f>fact_anuncios[[#This Row],[preco_unit]]*fact_anuncios[[#This Row],[quantidade_anuncio]]</f>
        <v>111428.96</v>
      </c>
      <c r="I50" s="1">
        <v>1E-4</v>
      </c>
      <c r="J50" s="8">
        <f>fact_anuncios[[#This Row],[preco_min_unit]]*fact_anuncios[[#This Row],[quantidade_anuncio]]</f>
        <v>111417.817104</v>
      </c>
      <c r="K50" s="1" t="s">
        <v>18</v>
      </c>
      <c r="L50" s="1">
        <v>0.17</v>
      </c>
      <c r="M50" s="9">
        <f>fact_anuncios[[#This Row],[preco_sugerido]]*fact_anuncios[[#This Row],[perc_comissao]]</f>
        <v>24827.593252592986</v>
      </c>
      <c r="N50" s="9">
        <v>110.75</v>
      </c>
      <c r="O50" s="4">
        <v>0.08</v>
      </c>
      <c r="P50" s="9">
        <f>fact_anuncios[[#This Row],[valor_tipo]]+fact_anuncios[[#This Row],[frete]]</f>
        <v>24938.343252592986</v>
      </c>
      <c r="Q50" s="9">
        <f>(fact_anuncios[[#This Row],[valor_tipo]]+fact_anuncios[[#This Row],[frete]])*(1+fact_anuncios[[#This Row],[markup_promo]])</f>
        <v>26933.410712800425</v>
      </c>
      <c r="R50" s="9">
        <f>((fact_anuncios[[#This Row],[valor_min_produto]] / (1-fact_anuncios[[#This Row],[markup_promo]])) +fact_anuncios[[#This Row],[frete]]) / (1 - fact_anuncios[[#This Row],[perc_comissao]])</f>
        <v>146044.66619172343</v>
      </c>
      <c r="S50" s="9">
        <f>(fact_anuncios[[#This Row],[valor_min_produto]] + fact_anuncios[[#This Row],[frete]]) / (1 - fact_anuncios[[#This Row],[perc_comissao]])</f>
        <v>134371.76759518072</v>
      </c>
      <c r="T50" s="9">
        <f>fact_anuncios[[#This Row],[atacado_1]] * 1.0254</f>
        <v>137784.81049209833</v>
      </c>
      <c r="U50" s="1" t="s">
        <v>24</v>
      </c>
    </row>
    <row r="51" spans="1:21" x14ac:dyDescent="0.3">
      <c r="A51" s="1">
        <v>1028</v>
      </c>
      <c r="B51" s="2" t="s">
        <v>193</v>
      </c>
      <c r="C51" s="2" t="s">
        <v>447</v>
      </c>
      <c r="D51" s="6" t="s">
        <v>481</v>
      </c>
      <c r="E51" s="1">
        <v>1</v>
      </c>
      <c r="F51" s="8">
        <v>402.0489</v>
      </c>
      <c r="G51" s="8">
        <f>fact_anuncios[[#This Row],[preco_unit]]*(1-fact_anuncios[[#This Row],[perc_desconto_min]])</f>
        <v>372.29728140000003</v>
      </c>
      <c r="H51" s="8">
        <f>fact_anuncios[[#This Row],[preco_unit]]*fact_anuncios[[#This Row],[quantidade_anuncio]]</f>
        <v>402.0489</v>
      </c>
      <c r="I51" s="1">
        <v>7.3999999999999996E-2</v>
      </c>
      <c r="J51" s="8">
        <f>fact_anuncios[[#This Row],[preco_min_unit]]*fact_anuncios[[#This Row],[quantidade_anuncio]]</f>
        <v>372.29728140000003</v>
      </c>
      <c r="K51" s="1" t="s">
        <v>19</v>
      </c>
      <c r="L51" s="1">
        <v>0.11</v>
      </c>
      <c r="M51" s="9">
        <f>fact_anuncios[[#This Row],[preco_sugerido]]*fact_anuncios[[#This Row],[perc_comissao]]</f>
        <v>52.604837510991693</v>
      </c>
      <c r="N51" s="9">
        <v>20.95</v>
      </c>
      <c r="O51" s="4">
        <v>0.08</v>
      </c>
      <c r="P51" s="9">
        <f>fact_anuncios[[#This Row],[valor_tipo]]+fact_anuncios[[#This Row],[frete]]</f>
        <v>73.554837510991689</v>
      </c>
      <c r="Q51" s="9">
        <f>(fact_anuncios[[#This Row],[valor_tipo]]+fact_anuncios[[#This Row],[frete]])*(1+fact_anuncios[[#This Row],[markup_promo]])</f>
        <v>79.439224511871032</v>
      </c>
      <c r="R51" s="9">
        <f>((fact_anuncios[[#This Row],[valor_min_produto]] / (1-fact_anuncios[[#This Row],[markup_promo]])) +fact_anuncios[[#This Row],[frete]]) / (1 - fact_anuncios[[#This Row],[perc_comissao]])</f>
        <v>478.22579555446993</v>
      </c>
      <c r="S51" s="9">
        <f>(fact_anuncios[[#This Row],[valor_min_produto]] + fact_anuncios[[#This Row],[frete]]) / (1 - fact_anuncios[[#This Row],[perc_comissao]])</f>
        <v>441.85087797752811</v>
      </c>
      <c r="T51" s="9">
        <f>fact_anuncios[[#This Row],[atacado_1]] * 1.0254</f>
        <v>453.07389027815736</v>
      </c>
      <c r="U51" s="1" t="s">
        <v>7</v>
      </c>
    </row>
    <row r="52" spans="1:21" x14ac:dyDescent="0.3">
      <c r="A52" s="1">
        <v>1028</v>
      </c>
      <c r="B52" s="2" t="s">
        <v>194</v>
      </c>
      <c r="C52" s="2" t="s">
        <v>340</v>
      </c>
      <c r="D52" s="6" t="s">
        <v>481</v>
      </c>
      <c r="E52" s="1">
        <v>5</v>
      </c>
      <c r="F52" s="8">
        <v>402.0489</v>
      </c>
      <c r="G52" s="8">
        <f>fact_anuncios[[#This Row],[preco_unit]]*(1-fact_anuncios[[#This Row],[perc_desconto_min]])</f>
        <v>372.29728139999997</v>
      </c>
      <c r="H52" s="8">
        <f>fact_anuncios[[#This Row],[preco_unit]]*fact_anuncios[[#This Row],[quantidade_anuncio]]</f>
        <v>2010.2445</v>
      </c>
      <c r="I52" s="1">
        <v>7.400000000000001E-2</v>
      </c>
      <c r="J52" s="8">
        <f>fact_anuncios[[#This Row],[preco_min_unit]]*fact_anuncios[[#This Row],[quantidade_anuncio]]</f>
        <v>1861.4864069999999</v>
      </c>
      <c r="K52" s="1" t="s">
        <v>18</v>
      </c>
      <c r="L52" s="1">
        <v>0.17</v>
      </c>
      <c r="M52" s="9">
        <f>fact_anuncios[[#This Row],[preco_sugerido]]*fact_anuncios[[#This Row],[perc_comissao]]</f>
        <v>419.04074016500783</v>
      </c>
      <c r="N52" s="9">
        <v>22.55</v>
      </c>
      <c r="O52" s="4">
        <v>0.08</v>
      </c>
      <c r="P52" s="9">
        <f>fact_anuncios[[#This Row],[valor_tipo]]+fact_anuncios[[#This Row],[frete]]</f>
        <v>441.59074016500784</v>
      </c>
      <c r="Q52" s="9">
        <f>(fact_anuncios[[#This Row],[valor_tipo]]+fact_anuncios[[#This Row],[frete]])*(1+fact_anuncios[[#This Row],[markup_promo]])</f>
        <v>476.91799937820849</v>
      </c>
      <c r="R52" s="9">
        <f>((fact_anuncios[[#This Row],[valor_min_produto]] / (1-fact_anuncios[[#This Row],[markup_promo]])) +fact_anuncios[[#This Row],[frete]]) / (1 - fact_anuncios[[#This Row],[perc_comissao]])</f>
        <v>2464.9455303823988</v>
      </c>
      <c r="S52" s="9">
        <f>(fact_anuncios[[#This Row],[valor_min_produto]] + fact_anuncios[[#This Row],[frete]]) / (1 - fact_anuncios[[#This Row],[perc_comissao]])</f>
        <v>2269.9233819277106</v>
      </c>
      <c r="T52" s="9">
        <f>fact_anuncios[[#This Row],[atacado_1]] * 1.0254</f>
        <v>2327.5794358286748</v>
      </c>
      <c r="U52" s="1" t="s">
        <v>7</v>
      </c>
    </row>
    <row r="53" spans="1:21" x14ac:dyDescent="0.3">
      <c r="A53" s="1">
        <v>1028</v>
      </c>
      <c r="B53" s="2" t="s">
        <v>195</v>
      </c>
      <c r="C53" s="2" t="s">
        <v>341</v>
      </c>
      <c r="D53" s="6" t="s">
        <v>481</v>
      </c>
      <c r="E53" s="1">
        <v>5</v>
      </c>
      <c r="F53" s="8">
        <v>402.0489</v>
      </c>
      <c r="G53" s="8">
        <f>fact_anuncios[[#This Row],[preco_unit]]*(1-fact_anuncios[[#This Row],[perc_desconto_min]])</f>
        <v>372.29728140000003</v>
      </c>
      <c r="H53" s="8">
        <f>fact_anuncios[[#This Row],[preco_unit]]*fact_anuncios[[#This Row],[quantidade_anuncio]]</f>
        <v>2010.2445</v>
      </c>
      <c r="I53" s="1">
        <v>7.3999999999999996E-2</v>
      </c>
      <c r="J53" s="8">
        <f>fact_anuncios[[#This Row],[preco_min_unit]]*fact_anuncios[[#This Row],[quantidade_anuncio]]</f>
        <v>1861.4864070000001</v>
      </c>
      <c r="K53" s="1" t="s">
        <v>18</v>
      </c>
      <c r="L53" s="1">
        <v>0.17</v>
      </c>
      <c r="M53" s="9">
        <f>fact_anuncios[[#This Row],[preco_sugerido]]*fact_anuncios[[#This Row],[perc_comissao]]</f>
        <v>419.04074016500789</v>
      </c>
      <c r="N53" s="9">
        <v>22.55</v>
      </c>
      <c r="O53" s="4">
        <v>0.08</v>
      </c>
      <c r="P53" s="9">
        <f>fact_anuncios[[#This Row],[valor_tipo]]+fact_anuncios[[#This Row],[frete]]</f>
        <v>441.5907401650079</v>
      </c>
      <c r="Q53" s="9">
        <f>(fact_anuncios[[#This Row],[valor_tipo]]+fact_anuncios[[#This Row],[frete]])*(1+fact_anuncios[[#This Row],[markup_promo]])</f>
        <v>476.91799937820855</v>
      </c>
      <c r="R53" s="9">
        <f>((fact_anuncios[[#This Row],[valor_min_produto]] / (1-fact_anuncios[[#This Row],[markup_promo]])) +fact_anuncios[[#This Row],[frete]]) / (1 - fact_anuncios[[#This Row],[perc_comissao]])</f>
        <v>2464.9455303823993</v>
      </c>
      <c r="S53" s="9">
        <f>(fact_anuncios[[#This Row],[valor_min_produto]] + fact_anuncios[[#This Row],[frete]]) / (1 - fact_anuncios[[#This Row],[perc_comissao]])</f>
        <v>2269.923381927711</v>
      </c>
      <c r="T53" s="9">
        <f>fact_anuncios[[#This Row],[atacado_1]] * 1.0254</f>
        <v>2327.5794358286753</v>
      </c>
      <c r="U53" s="1" t="s">
        <v>7</v>
      </c>
    </row>
    <row r="54" spans="1:21" x14ac:dyDescent="0.3">
      <c r="A54" s="1">
        <v>1030</v>
      </c>
      <c r="B54" s="2" t="s">
        <v>282</v>
      </c>
      <c r="C54" s="2" t="s">
        <v>343</v>
      </c>
      <c r="D54" s="6" t="s">
        <v>482</v>
      </c>
      <c r="E54" s="1">
        <v>10</v>
      </c>
      <c r="F54" s="8">
        <v>11.465999999999999</v>
      </c>
      <c r="G54" s="8">
        <f>fact_anuncios[[#This Row],[preco_unit]]*(1-fact_anuncios[[#This Row],[perc_desconto_min]])</f>
        <v>10.491389999999999</v>
      </c>
      <c r="H54" s="8">
        <f>fact_anuncios[[#This Row],[preco_unit]]*fact_anuncios[[#This Row],[quantidade_anuncio]]</f>
        <v>114.66</v>
      </c>
      <c r="I54" s="1">
        <v>8.5000000000000006E-2</v>
      </c>
      <c r="J54" s="8">
        <f>fact_anuncios[[#This Row],[preco_min_unit]]*fact_anuncios[[#This Row],[quantidade_anuncio]]</f>
        <v>104.91389999999998</v>
      </c>
      <c r="K54" s="1" t="s">
        <v>19</v>
      </c>
      <c r="L54" s="1">
        <v>0.12</v>
      </c>
      <c r="M54" s="9">
        <f>fact_anuncios[[#This Row],[preco_sugerido]]*fact_anuncios[[#This Row],[perc_comissao]]</f>
        <v>18.066388339920945</v>
      </c>
      <c r="N54" s="9">
        <v>18.45</v>
      </c>
      <c r="O54" s="4">
        <v>0.08</v>
      </c>
      <c r="P54" s="9">
        <f>fact_anuncios[[#This Row],[valor_tipo]]+fact_anuncios[[#This Row],[frete]]</f>
        <v>36.516388339920944</v>
      </c>
      <c r="Q54" s="9">
        <f>(fact_anuncios[[#This Row],[valor_tipo]]+fact_anuncios[[#This Row],[frete]])*(1+fact_anuncios[[#This Row],[markup_promo]])</f>
        <v>39.437699407114621</v>
      </c>
      <c r="R54" s="9">
        <f>((fact_anuncios[[#This Row],[valor_min_produto]] / (1-fact_anuncios[[#This Row],[markup_promo]])) +fact_anuncios[[#This Row],[frete]]) / (1 - fact_anuncios[[#This Row],[perc_comissao]])</f>
        <v>150.55323616600788</v>
      </c>
      <c r="S54" s="9">
        <f>(fact_anuncios[[#This Row],[valor_min_produto]] + fact_anuncios[[#This Row],[frete]]) / (1 - fact_anuncios[[#This Row],[perc_comissao]])</f>
        <v>140.18624999999997</v>
      </c>
      <c r="T54" s="9">
        <f>fact_anuncios[[#This Row],[atacado_1]] * 1.0254</f>
        <v>143.74698074999998</v>
      </c>
      <c r="U54" s="1" t="s">
        <v>4</v>
      </c>
    </row>
    <row r="55" spans="1:21" x14ac:dyDescent="0.3">
      <c r="A55" s="1">
        <v>1030</v>
      </c>
      <c r="B55" s="2" t="s">
        <v>283</v>
      </c>
      <c r="C55" s="2" t="s">
        <v>342</v>
      </c>
      <c r="D55" s="6" t="s">
        <v>482</v>
      </c>
      <c r="E55" s="1">
        <v>10</v>
      </c>
      <c r="F55" s="8">
        <v>11.465999999999999</v>
      </c>
      <c r="G55" s="8">
        <f>fact_anuncios[[#This Row],[preco_unit]]*(1-fact_anuncios[[#This Row],[perc_desconto_min]])</f>
        <v>10.491389999999999</v>
      </c>
      <c r="H55" s="8">
        <f>fact_anuncios[[#This Row],[preco_unit]]*fact_anuncios[[#This Row],[quantidade_anuncio]]</f>
        <v>114.66</v>
      </c>
      <c r="I55" s="1">
        <v>8.5000000000000006E-2</v>
      </c>
      <c r="J55" s="8">
        <f>fact_anuncios[[#This Row],[preco_min_unit]]*fact_anuncios[[#This Row],[quantidade_anuncio]]</f>
        <v>104.91389999999998</v>
      </c>
      <c r="K55" s="1" t="s">
        <v>19</v>
      </c>
      <c r="L55" s="1">
        <v>0.12</v>
      </c>
      <c r="M55" s="9">
        <f>fact_anuncios[[#This Row],[preco_sugerido]]*fact_anuncios[[#This Row],[perc_comissao]]</f>
        <v>18.066388339920945</v>
      </c>
      <c r="N55" s="9">
        <v>18.45</v>
      </c>
      <c r="O55" s="4">
        <v>0.08</v>
      </c>
      <c r="P55" s="9">
        <f>fact_anuncios[[#This Row],[valor_tipo]]+fact_anuncios[[#This Row],[frete]]</f>
        <v>36.516388339920944</v>
      </c>
      <c r="Q55" s="9">
        <f>(fact_anuncios[[#This Row],[valor_tipo]]+fact_anuncios[[#This Row],[frete]])*(1+fact_anuncios[[#This Row],[markup_promo]])</f>
        <v>39.437699407114621</v>
      </c>
      <c r="R55" s="9">
        <f>((fact_anuncios[[#This Row],[valor_min_produto]] / (1-fact_anuncios[[#This Row],[markup_promo]])) +fact_anuncios[[#This Row],[frete]]) / (1 - fact_anuncios[[#This Row],[perc_comissao]])</f>
        <v>150.55323616600788</v>
      </c>
      <c r="S55" s="9">
        <f>(fact_anuncios[[#This Row],[valor_min_produto]] + fact_anuncios[[#This Row],[frete]]) / (1 - fact_anuncios[[#This Row],[perc_comissao]])</f>
        <v>140.18624999999997</v>
      </c>
      <c r="T55" s="9">
        <f>fact_anuncios[[#This Row],[atacado_1]] * 1.0254</f>
        <v>143.74698074999998</v>
      </c>
      <c r="U55" s="1" t="s">
        <v>4</v>
      </c>
    </row>
    <row r="56" spans="1:21" x14ac:dyDescent="0.3">
      <c r="A56" s="1">
        <v>1030</v>
      </c>
      <c r="B56" s="2" t="s">
        <v>284</v>
      </c>
      <c r="C56" s="2" t="s">
        <v>344</v>
      </c>
      <c r="D56" s="6" t="s">
        <v>482</v>
      </c>
      <c r="E56" s="1">
        <v>10</v>
      </c>
      <c r="F56" s="8">
        <v>11.465999999999999</v>
      </c>
      <c r="G56" s="8">
        <f>fact_anuncios[[#This Row],[preco_unit]]*(1-fact_anuncios[[#This Row],[perc_desconto_min]])</f>
        <v>10.491389999999999</v>
      </c>
      <c r="H56" s="8">
        <f>fact_anuncios[[#This Row],[preco_unit]]*fact_anuncios[[#This Row],[quantidade_anuncio]]</f>
        <v>114.66</v>
      </c>
      <c r="I56" s="1">
        <v>8.5000000000000006E-2</v>
      </c>
      <c r="J56" s="8">
        <f>fact_anuncios[[#This Row],[preco_min_unit]]*fact_anuncios[[#This Row],[quantidade_anuncio]]</f>
        <v>104.91389999999998</v>
      </c>
      <c r="K56" s="1" t="s">
        <v>18</v>
      </c>
      <c r="L56" s="1">
        <v>0.17</v>
      </c>
      <c r="M56" s="9">
        <f>fact_anuncios[[#This Row],[preco_sugerido]]*fact_anuncios[[#This Row],[perc_comissao]]</f>
        <v>27.606944735463596</v>
      </c>
      <c r="N56" s="9">
        <v>20.75</v>
      </c>
      <c r="O56" s="4">
        <v>0.08</v>
      </c>
      <c r="P56" s="9">
        <f>fact_anuncios[[#This Row],[valor_tipo]]+fact_anuncios[[#This Row],[frete]]</f>
        <v>48.3569447354636</v>
      </c>
      <c r="Q56" s="9">
        <f>(fact_anuncios[[#This Row],[valor_tipo]]+fact_anuncios[[#This Row],[frete]])*(1+fact_anuncios[[#This Row],[markup_promo]])</f>
        <v>52.225500314300689</v>
      </c>
      <c r="R56" s="9">
        <f>((fact_anuncios[[#This Row],[valor_min_produto]] / (1-fact_anuncios[[#This Row],[markup_promo]])) +fact_anuncios[[#This Row],[frete]]) / (1 - fact_anuncios[[#This Row],[perc_comissao]])</f>
        <v>162.39379256155055</v>
      </c>
      <c r="S56" s="9">
        <f>(fact_anuncios[[#This Row],[valor_min_produto]] + fact_anuncios[[#This Row],[frete]]) / (1 - fact_anuncios[[#This Row],[perc_comissao]])</f>
        <v>151.40228915662649</v>
      </c>
      <c r="T56" s="9">
        <f>fact_anuncios[[#This Row],[atacado_1]] * 1.0254</f>
        <v>155.24790730120483</v>
      </c>
      <c r="U56" s="1" t="s">
        <v>4</v>
      </c>
    </row>
    <row r="57" spans="1:21" x14ac:dyDescent="0.3">
      <c r="A57" s="1">
        <v>1030</v>
      </c>
      <c r="B57" s="2" t="s">
        <v>285</v>
      </c>
      <c r="C57" s="2" t="s">
        <v>345</v>
      </c>
      <c r="D57" s="6" t="s">
        <v>482</v>
      </c>
      <c r="E57" s="1">
        <v>10</v>
      </c>
      <c r="F57" s="8">
        <v>11.465999999999999</v>
      </c>
      <c r="G57" s="8">
        <f>fact_anuncios[[#This Row],[preco_unit]]*(1-fact_anuncios[[#This Row],[perc_desconto_min]])</f>
        <v>10.491389999999999</v>
      </c>
      <c r="H57" s="8">
        <f>fact_anuncios[[#This Row],[preco_unit]]*fact_anuncios[[#This Row],[quantidade_anuncio]]</f>
        <v>114.66</v>
      </c>
      <c r="I57" s="1">
        <v>8.5000000000000006E-2</v>
      </c>
      <c r="J57" s="8">
        <f>fact_anuncios[[#This Row],[preco_min_unit]]*fact_anuncios[[#This Row],[quantidade_anuncio]]</f>
        <v>104.91389999999998</v>
      </c>
      <c r="K57" s="1" t="s">
        <v>18</v>
      </c>
      <c r="L57" s="1">
        <v>0.17</v>
      </c>
      <c r="M57" s="9">
        <f>fact_anuncios[[#This Row],[preco_sugerido]]*fact_anuncios[[#This Row],[perc_comissao]]</f>
        <v>27.606944735463596</v>
      </c>
      <c r="N57" s="9">
        <v>20.75</v>
      </c>
      <c r="O57" s="4">
        <v>0.08</v>
      </c>
      <c r="P57" s="9">
        <f>fact_anuncios[[#This Row],[valor_tipo]]+fact_anuncios[[#This Row],[frete]]</f>
        <v>48.3569447354636</v>
      </c>
      <c r="Q57" s="9">
        <f>(fact_anuncios[[#This Row],[valor_tipo]]+fact_anuncios[[#This Row],[frete]])*(1+fact_anuncios[[#This Row],[markup_promo]])</f>
        <v>52.225500314300689</v>
      </c>
      <c r="R57" s="9">
        <f>((fact_anuncios[[#This Row],[valor_min_produto]] / (1-fact_anuncios[[#This Row],[markup_promo]])) +fact_anuncios[[#This Row],[frete]]) / (1 - fact_anuncios[[#This Row],[perc_comissao]])</f>
        <v>162.39379256155055</v>
      </c>
      <c r="S57" s="9">
        <f>(fact_anuncios[[#This Row],[valor_min_produto]] + fact_anuncios[[#This Row],[frete]]) / (1 - fact_anuncios[[#This Row],[perc_comissao]])</f>
        <v>151.40228915662649</v>
      </c>
      <c r="T57" s="9">
        <f>fact_anuncios[[#This Row],[atacado_1]] * 1.0254</f>
        <v>155.24790730120483</v>
      </c>
      <c r="U57" s="1" t="s">
        <v>4</v>
      </c>
    </row>
    <row r="58" spans="1:21" x14ac:dyDescent="0.3">
      <c r="A58" s="1">
        <v>1030</v>
      </c>
      <c r="B58" s="2" t="s">
        <v>286</v>
      </c>
      <c r="C58" s="2" t="s">
        <v>346</v>
      </c>
      <c r="D58" s="6" t="s">
        <v>482</v>
      </c>
      <c r="E58" s="1">
        <v>10</v>
      </c>
      <c r="F58" s="8">
        <v>11.465999999999999</v>
      </c>
      <c r="G58" s="8">
        <f>fact_anuncios[[#This Row],[preco_unit]]*(1-fact_anuncios[[#This Row],[perc_desconto_min]])</f>
        <v>10.491389999999999</v>
      </c>
      <c r="H58" s="8">
        <f>fact_anuncios[[#This Row],[preco_unit]]*fact_anuncios[[#This Row],[quantidade_anuncio]]</f>
        <v>114.66</v>
      </c>
      <c r="I58" s="1">
        <v>8.5000000000000006E-2</v>
      </c>
      <c r="J58" s="8">
        <f>fact_anuncios[[#This Row],[preco_min_unit]]*fact_anuncios[[#This Row],[quantidade_anuncio]]</f>
        <v>104.91389999999998</v>
      </c>
      <c r="K58" s="1" t="s">
        <v>18</v>
      </c>
      <c r="L58" s="1">
        <v>0.17</v>
      </c>
      <c r="M58" s="9">
        <f>fact_anuncios[[#This Row],[preco_sugerido]]*fact_anuncios[[#This Row],[perc_comissao]]</f>
        <v>27.606944735463596</v>
      </c>
      <c r="N58" s="9">
        <v>20.75</v>
      </c>
      <c r="O58" s="4">
        <v>0.08</v>
      </c>
      <c r="P58" s="9">
        <f>fact_anuncios[[#This Row],[valor_tipo]]+fact_anuncios[[#This Row],[frete]]</f>
        <v>48.3569447354636</v>
      </c>
      <c r="Q58" s="9">
        <f>(fact_anuncios[[#This Row],[valor_tipo]]+fact_anuncios[[#This Row],[frete]])*(1+fact_anuncios[[#This Row],[markup_promo]])</f>
        <v>52.225500314300689</v>
      </c>
      <c r="R58" s="9">
        <f>((fact_anuncios[[#This Row],[valor_min_produto]] / (1-fact_anuncios[[#This Row],[markup_promo]])) +fact_anuncios[[#This Row],[frete]]) / (1 - fact_anuncios[[#This Row],[perc_comissao]])</f>
        <v>162.39379256155055</v>
      </c>
      <c r="S58" s="9">
        <f>(fact_anuncios[[#This Row],[valor_min_produto]] + fact_anuncios[[#This Row],[frete]]) / (1 - fact_anuncios[[#This Row],[perc_comissao]])</f>
        <v>151.40228915662649</v>
      </c>
      <c r="T58" s="9">
        <f>fact_anuncios[[#This Row],[atacado_1]] * 1.0254</f>
        <v>155.24790730120483</v>
      </c>
      <c r="U58" s="1" t="s">
        <v>4</v>
      </c>
    </row>
    <row r="59" spans="1:21" x14ac:dyDescent="0.3">
      <c r="A59" s="1">
        <v>1032</v>
      </c>
      <c r="B59" s="2" t="s">
        <v>207</v>
      </c>
      <c r="C59" s="2" t="s">
        <v>347</v>
      </c>
      <c r="D59" s="6" t="s">
        <v>525</v>
      </c>
      <c r="E59" s="1">
        <v>10</v>
      </c>
      <c r="F59" s="8">
        <v>7.2545000000000002</v>
      </c>
      <c r="G59" s="8">
        <f>fact_anuncios[[#This Row],[preco_unit]]*(1-fact_anuncios[[#This Row],[perc_desconto_min]])</f>
        <v>6.5290500000000007</v>
      </c>
      <c r="H59" s="8">
        <f>fact_anuncios[[#This Row],[preco_unit]]*fact_anuncios[[#This Row],[quantidade_anuncio]]</f>
        <v>72.545000000000002</v>
      </c>
      <c r="I59" s="1">
        <v>0.1</v>
      </c>
      <c r="J59" s="8">
        <f>fact_anuncios[[#This Row],[preco_min_unit]]*fact_anuncios[[#This Row],[quantidade_anuncio]]</f>
        <v>65.290500000000009</v>
      </c>
      <c r="K59" s="1" t="s">
        <v>18</v>
      </c>
      <c r="L59" s="1">
        <v>0.17</v>
      </c>
      <c r="M59" s="9">
        <f>fact_anuncios[[#This Row],[preco_sugerido]]*fact_anuncios[[#This Row],[perc_comissao]]</f>
        <v>17.249456521739134</v>
      </c>
      <c r="N59" s="9">
        <v>13.25</v>
      </c>
      <c r="O59" s="4">
        <v>0.08</v>
      </c>
      <c r="P59" s="9">
        <f>fact_anuncios[[#This Row],[valor_tipo]]+fact_anuncios[[#This Row],[frete]]</f>
        <v>30.499456521739134</v>
      </c>
      <c r="Q59" s="9">
        <f>(fact_anuncios[[#This Row],[valor_tipo]]+fact_anuncios[[#This Row],[frete]])*(1+fact_anuncios[[#This Row],[markup_promo]])</f>
        <v>32.939413043478268</v>
      </c>
      <c r="R59" s="9">
        <f>((fact_anuncios[[#This Row],[valor_min_produto]] / (1-fact_anuncios[[#This Row],[markup_promo]])) +fact_anuncios[[#This Row],[frete]]) / (1 - fact_anuncios[[#This Row],[perc_comissao]])</f>
        <v>101.46739130434784</v>
      </c>
      <c r="S59" s="9">
        <f>(fact_anuncios[[#This Row],[valor_min_produto]] + fact_anuncios[[#This Row],[frete]]) / (1 - fact_anuncios[[#This Row],[perc_comissao]])</f>
        <v>94.627108433734961</v>
      </c>
      <c r="T59" s="9">
        <f>fact_anuncios[[#This Row],[atacado_1]] * 1.0254</f>
        <v>97.030636987951837</v>
      </c>
      <c r="U59" s="1" t="s">
        <v>21</v>
      </c>
    </row>
    <row r="60" spans="1:21" x14ac:dyDescent="0.3">
      <c r="A60" s="1">
        <v>1033</v>
      </c>
      <c r="B60" s="2" t="s">
        <v>301</v>
      </c>
      <c r="C60" s="2" t="s">
        <v>448</v>
      </c>
      <c r="D60" s="6" t="s">
        <v>483</v>
      </c>
      <c r="E60" s="1">
        <v>1</v>
      </c>
      <c r="F60" s="8">
        <v>95.105400000000003</v>
      </c>
      <c r="G60" s="8">
        <f>fact_anuncios[[#This Row],[preco_unit]]*(1-fact_anuncios[[#This Row],[perc_desconto_min]])</f>
        <v>85.594860000000011</v>
      </c>
      <c r="H60" s="8">
        <f>fact_anuncios[[#This Row],[preco_unit]]*fact_anuncios[[#This Row],[quantidade_anuncio]]</f>
        <v>95.105400000000003</v>
      </c>
      <c r="I60" s="1">
        <v>0.1</v>
      </c>
      <c r="J60" s="8">
        <f>fact_anuncios[[#This Row],[preco_min_unit]]*fact_anuncios[[#This Row],[quantidade_anuncio]]</f>
        <v>85.594860000000011</v>
      </c>
      <c r="K60" s="1" t="s">
        <v>18</v>
      </c>
      <c r="L60" s="1">
        <v>0.14000000000000001</v>
      </c>
      <c r="M60" s="9">
        <f>fact_anuncios[[#This Row],[preco_sugerido]]*fact_anuncios[[#This Row],[perc_comissao]]</f>
        <v>18.670121840242672</v>
      </c>
      <c r="N60" s="9">
        <v>21.65</v>
      </c>
      <c r="O60" s="4">
        <v>0.08</v>
      </c>
      <c r="P60" s="9">
        <f>fact_anuncios[[#This Row],[valor_tipo]]+fact_anuncios[[#This Row],[frete]]</f>
        <v>40.32012184024267</v>
      </c>
      <c r="Q60" s="9">
        <f>(fact_anuncios[[#This Row],[valor_tipo]]+fact_anuncios[[#This Row],[frete]])*(1+fact_anuncios[[#This Row],[markup_promo]])</f>
        <v>43.545731587462086</v>
      </c>
      <c r="R60" s="9">
        <f>((fact_anuncios[[#This Row],[valor_min_produto]] / (1-fact_anuncios[[#This Row],[markup_promo]])) +fact_anuncios[[#This Row],[frete]]) / (1 - fact_anuncios[[#This Row],[perc_comissao]])</f>
        <v>133.3580131445905</v>
      </c>
      <c r="S60" s="9">
        <f>(fact_anuncios[[#This Row],[valor_min_produto]] + fact_anuncios[[#This Row],[frete]]) / (1 - fact_anuncios[[#This Row],[perc_comissao]])</f>
        <v>124.70332558139538</v>
      </c>
      <c r="T60" s="9">
        <f>fact_anuncios[[#This Row],[atacado_1]] * 1.0254</f>
        <v>127.87079005116283</v>
      </c>
      <c r="U60" s="1" t="s">
        <v>27</v>
      </c>
    </row>
    <row r="61" spans="1:21" x14ac:dyDescent="0.3">
      <c r="A61" s="1">
        <v>1034</v>
      </c>
      <c r="B61" s="2" t="s">
        <v>237</v>
      </c>
      <c r="C61" s="2" t="s">
        <v>348</v>
      </c>
      <c r="D61" s="6" t="s">
        <v>484</v>
      </c>
      <c r="E61" s="1">
        <v>5</v>
      </c>
      <c r="F61" s="8">
        <v>17.7013</v>
      </c>
      <c r="G61" s="8">
        <f>fact_anuncios[[#This Row],[preco_unit]]*(1-fact_anuncios[[#This Row],[perc_desconto_min]])</f>
        <v>16.285195999999999</v>
      </c>
      <c r="H61" s="8">
        <f>fact_anuncios[[#This Row],[preco_unit]]*fact_anuncios[[#This Row],[quantidade_anuncio]]</f>
        <v>88.506500000000003</v>
      </c>
      <c r="I61" s="1">
        <v>0.08</v>
      </c>
      <c r="J61" s="8">
        <f>fact_anuncios[[#This Row],[preco_min_unit]]*fact_anuncios[[#This Row],[quantidade_anuncio]]</f>
        <v>81.425979999999996</v>
      </c>
      <c r="K61" s="1" t="s">
        <v>19</v>
      </c>
      <c r="L61" s="1">
        <v>0.115</v>
      </c>
      <c r="M61" s="9">
        <f>fact_anuncios[[#This Row],[preco_sugerido]]*fact_anuncios[[#This Row],[perc_comissao]]</f>
        <v>15.743500000000001</v>
      </c>
      <c r="N61" s="9">
        <v>32.65</v>
      </c>
      <c r="O61" s="4">
        <v>0.08</v>
      </c>
      <c r="P61" s="9">
        <f>fact_anuncios[[#This Row],[valor_tipo]]+fact_anuncios[[#This Row],[frete]]</f>
        <v>48.393500000000003</v>
      </c>
      <c r="Q61" s="9">
        <f>(fact_anuncios[[#This Row],[valor_tipo]]+fact_anuncios[[#This Row],[frete]])*(1+fact_anuncios[[#This Row],[markup_promo]])</f>
        <v>52.264980000000008</v>
      </c>
      <c r="R61" s="9">
        <f>((fact_anuncios[[#This Row],[valor_min_produto]] / (1-fact_anuncios[[#This Row],[markup_promo]])) +fact_anuncios[[#This Row],[frete]]) / (1 - fact_anuncios[[#This Row],[perc_comissao]])</f>
        <v>136.9</v>
      </c>
      <c r="S61" s="9">
        <f>(fact_anuncios[[#This Row],[valor_min_produto]] + fact_anuncios[[#This Row],[frete]]) / (1 - fact_anuncios[[#This Row],[perc_comissao]])</f>
        <v>128.89941242937851</v>
      </c>
      <c r="T61" s="9">
        <f>fact_anuncios[[#This Row],[atacado_1]] * 1.0254</f>
        <v>132.17345750508474</v>
      </c>
      <c r="U61" s="1" t="s">
        <v>5</v>
      </c>
    </row>
    <row r="62" spans="1:21" x14ac:dyDescent="0.3">
      <c r="A62" s="1">
        <v>1034</v>
      </c>
      <c r="B62" s="2" t="s">
        <v>238</v>
      </c>
      <c r="C62" s="2" t="s">
        <v>349</v>
      </c>
      <c r="D62" s="6" t="s">
        <v>484</v>
      </c>
      <c r="E62" s="1">
        <v>5</v>
      </c>
      <c r="F62" s="8">
        <v>17.7013</v>
      </c>
      <c r="G62" s="8">
        <f>fact_anuncios[[#This Row],[preco_unit]]*(1-fact_anuncios[[#This Row],[perc_desconto_min]])</f>
        <v>16.285195999999999</v>
      </c>
      <c r="H62" s="8">
        <f>fact_anuncios[[#This Row],[preco_unit]]*fact_anuncios[[#This Row],[quantidade_anuncio]]</f>
        <v>88.506500000000003</v>
      </c>
      <c r="I62" s="1">
        <v>0.08</v>
      </c>
      <c r="J62" s="8">
        <f>fact_anuncios[[#This Row],[preco_min_unit]]*fact_anuncios[[#This Row],[quantidade_anuncio]]</f>
        <v>81.425979999999996</v>
      </c>
      <c r="K62" s="1" t="s">
        <v>18</v>
      </c>
      <c r="L62" s="1">
        <v>0.16500000000000001</v>
      </c>
      <c r="M62" s="9">
        <f>fact_anuncios[[#This Row],[preco_sugerido]]*fact_anuncios[[#This Row],[perc_comissao]]</f>
        <v>23.130925149700602</v>
      </c>
      <c r="N62" s="9">
        <v>28.55</v>
      </c>
      <c r="O62" s="4">
        <v>0.08</v>
      </c>
      <c r="P62" s="9">
        <f>fact_anuncios[[#This Row],[valor_tipo]]+fact_anuncios[[#This Row],[frete]]</f>
        <v>51.680925149700599</v>
      </c>
      <c r="Q62" s="9">
        <f>(fact_anuncios[[#This Row],[valor_tipo]]+fact_anuncios[[#This Row],[frete]])*(1+fact_anuncios[[#This Row],[markup_promo]])</f>
        <v>55.815399161676652</v>
      </c>
      <c r="R62" s="9">
        <f>((fact_anuncios[[#This Row],[valor_min_produto]] / (1-fact_anuncios[[#This Row],[markup_promo]])) +fact_anuncios[[#This Row],[frete]]) / (1 - fact_anuncios[[#This Row],[perc_comissao]])</f>
        <v>140.1874251497006</v>
      </c>
      <c r="S62" s="9">
        <f>(fact_anuncios[[#This Row],[valor_min_produto]] + fact_anuncios[[#This Row],[frete]]) / (1 - fact_anuncios[[#This Row],[perc_comissao]])</f>
        <v>131.70776047904192</v>
      </c>
      <c r="T62" s="9">
        <f>fact_anuncios[[#This Row],[atacado_1]] * 1.0254</f>
        <v>135.05313759520959</v>
      </c>
      <c r="U62" s="1" t="s">
        <v>5</v>
      </c>
    </row>
    <row r="63" spans="1:21" x14ac:dyDescent="0.3">
      <c r="A63" s="1">
        <v>1035</v>
      </c>
      <c r="B63" s="2" t="s">
        <v>289</v>
      </c>
      <c r="C63" s="2" t="s">
        <v>449</v>
      </c>
      <c r="D63" s="6" t="s">
        <v>485</v>
      </c>
      <c r="E63" s="1">
        <v>1</v>
      </c>
      <c r="F63" s="8">
        <v>6530.8</v>
      </c>
      <c r="G63" s="8">
        <f>fact_anuncios[[#This Row],[preco_unit]]*(1-fact_anuncios[[#This Row],[perc_desconto_min]])</f>
        <v>6530.1469200000001</v>
      </c>
      <c r="H63" s="8">
        <f>fact_anuncios[[#This Row],[preco_unit]]*fact_anuncios[[#This Row],[quantidade_anuncio]]</f>
        <v>6530.8</v>
      </c>
      <c r="I63" s="1">
        <v>1E-4</v>
      </c>
      <c r="J63" s="8">
        <f>fact_anuncios[[#This Row],[preco_min_unit]]*fact_anuncios[[#This Row],[quantidade_anuncio]]</f>
        <v>6530.1469200000001</v>
      </c>
      <c r="K63" s="1" t="s">
        <v>18</v>
      </c>
      <c r="L63" s="1">
        <v>0.17</v>
      </c>
      <c r="M63" s="9">
        <f>fact_anuncios[[#This Row],[preco_sugerido]]*fact_anuncios[[#This Row],[perc_comissao]]</f>
        <v>1469.9133530644317</v>
      </c>
      <c r="N63" s="9">
        <v>78.650000000000006</v>
      </c>
      <c r="O63" s="4">
        <v>0.08</v>
      </c>
      <c r="P63" s="9">
        <f>fact_anuncios[[#This Row],[valor_tipo]]+fact_anuncios[[#This Row],[frete]]</f>
        <v>1548.5633530644318</v>
      </c>
      <c r="Q63" s="9">
        <f>(fact_anuncios[[#This Row],[valor_tipo]]+fact_anuncios[[#This Row],[frete]])*(1+fact_anuncios[[#This Row],[markup_promo]])</f>
        <v>1672.4484213095864</v>
      </c>
      <c r="R63" s="9">
        <f>((fact_anuncios[[#This Row],[valor_min_produto]] / (1-fact_anuncios[[#This Row],[markup_promo]])) +fact_anuncios[[#This Row],[frete]]) / (1 - fact_anuncios[[#This Row],[perc_comissao]])</f>
        <v>8646.5491356731272</v>
      </c>
      <c r="S63" s="9">
        <f>(fact_anuncios[[#This Row],[valor_min_produto]] + fact_anuncios[[#This Row],[frete]]) / (1 - fact_anuncios[[#This Row],[perc_comissao]])</f>
        <v>7962.4059277108436</v>
      </c>
      <c r="T63" s="9">
        <f>fact_anuncios[[#This Row],[atacado_1]] * 1.0254</f>
        <v>8164.6510382747001</v>
      </c>
      <c r="U63" s="1" t="s">
        <v>6</v>
      </c>
    </row>
    <row r="64" spans="1:21" x14ac:dyDescent="0.3">
      <c r="A64" s="1">
        <v>1035</v>
      </c>
      <c r="B64" s="2" t="s">
        <v>290</v>
      </c>
      <c r="C64" s="2" t="s">
        <v>350</v>
      </c>
      <c r="D64" s="6" t="s">
        <v>485</v>
      </c>
      <c r="E64" s="1">
        <v>1</v>
      </c>
      <c r="F64" s="8">
        <v>6530.8</v>
      </c>
      <c r="G64" s="8">
        <f>fact_anuncios[[#This Row],[preco_unit]]*(1-fact_anuncios[[#This Row],[perc_desconto_min]])</f>
        <v>6530.1469200000001</v>
      </c>
      <c r="H64" s="8">
        <f>fact_anuncios[[#This Row],[preco_unit]]*fact_anuncios[[#This Row],[quantidade_anuncio]]</f>
        <v>6530.8</v>
      </c>
      <c r="I64" s="1">
        <v>1E-4</v>
      </c>
      <c r="J64" s="8">
        <f>fact_anuncios[[#This Row],[preco_min_unit]]*fact_anuncios[[#This Row],[quantidade_anuncio]]</f>
        <v>6530.1469200000001</v>
      </c>
      <c r="K64" s="1" t="s">
        <v>18</v>
      </c>
      <c r="L64" s="1">
        <v>0.17</v>
      </c>
      <c r="M64" s="9">
        <f>fact_anuncios[[#This Row],[preco_sugerido]]*fact_anuncios[[#This Row],[perc_comissao]]</f>
        <v>1469.9133530644317</v>
      </c>
      <c r="N64" s="9">
        <v>78.650000000000006</v>
      </c>
      <c r="O64" s="4">
        <v>0.08</v>
      </c>
      <c r="P64" s="9">
        <f>fact_anuncios[[#This Row],[valor_tipo]]+fact_anuncios[[#This Row],[frete]]</f>
        <v>1548.5633530644318</v>
      </c>
      <c r="Q64" s="9">
        <f>(fact_anuncios[[#This Row],[valor_tipo]]+fact_anuncios[[#This Row],[frete]])*(1+fact_anuncios[[#This Row],[markup_promo]])</f>
        <v>1672.4484213095864</v>
      </c>
      <c r="R64" s="9">
        <f>((fact_anuncios[[#This Row],[valor_min_produto]] / (1-fact_anuncios[[#This Row],[markup_promo]])) +fact_anuncios[[#This Row],[frete]]) / (1 - fact_anuncios[[#This Row],[perc_comissao]])</f>
        <v>8646.5491356731272</v>
      </c>
      <c r="S64" s="9">
        <f>(fact_anuncios[[#This Row],[valor_min_produto]] + fact_anuncios[[#This Row],[frete]]) / (1 - fact_anuncios[[#This Row],[perc_comissao]])</f>
        <v>7962.4059277108436</v>
      </c>
      <c r="T64" s="9">
        <f>fact_anuncios[[#This Row],[atacado_1]] * 1.0254</f>
        <v>8164.6510382747001</v>
      </c>
      <c r="U64" s="1" t="s">
        <v>6</v>
      </c>
    </row>
    <row r="65" spans="1:21" x14ac:dyDescent="0.3">
      <c r="A65" s="1">
        <v>1036</v>
      </c>
      <c r="B65" s="2" t="s">
        <v>175</v>
      </c>
      <c r="C65" s="2" t="s">
        <v>450</v>
      </c>
      <c r="D65" s="6" t="s">
        <v>486</v>
      </c>
      <c r="E65" s="1">
        <v>1</v>
      </c>
      <c r="F65" s="8">
        <v>742.952</v>
      </c>
      <c r="G65" s="8">
        <f>fact_anuncios[[#This Row],[preco_unit]]*(1-fact_anuncios[[#This Row],[perc_desconto_min]])</f>
        <v>705.80439999999999</v>
      </c>
      <c r="H65" s="8">
        <f>fact_anuncios[[#This Row],[preco_unit]]*fact_anuncios[[#This Row],[quantidade_anuncio]]</f>
        <v>742.952</v>
      </c>
      <c r="I65" s="1">
        <v>0.05</v>
      </c>
      <c r="J65" s="8">
        <f>fact_anuncios[[#This Row],[preco_min_unit]]*fact_anuncios[[#This Row],[quantidade_anuncio]]</f>
        <v>705.80439999999999</v>
      </c>
      <c r="K65" s="1" t="s">
        <v>18</v>
      </c>
      <c r="L65" s="1">
        <v>0.17</v>
      </c>
      <c r="M65" s="9">
        <f>fact_anuncios[[#This Row],[preco_sugerido]]*fact_anuncios[[#This Row],[perc_comissao]]</f>
        <v>161.97696176008381</v>
      </c>
      <c r="N65" s="9">
        <v>23.65</v>
      </c>
      <c r="O65" s="4">
        <v>0.08</v>
      </c>
      <c r="P65" s="9">
        <f>fact_anuncios[[#This Row],[valor_tipo]]+fact_anuncios[[#This Row],[frete]]</f>
        <v>185.62696176008382</v>
      </c>
      <c r="Q65" s="9">
        <f>(fact_anuncios[[#This Row],[valor_tipo]]+fact_anuncios[[#This Row],[frete]])*(1+fact_anuncios[[#This Row],[markup_promo]])</f>
        <v>200.47711870089054</v>
      </c>
      <c r="R65" s="9">
        <f>((fact_anuncios[[#This Row],[valor_min_produto]] / (1-fact_anuncios[[#This Row],[markup_promo]])) +fact_anuncios[[#This Row],[frete]]) / (1 - fact_anuncios[[#This Row],[perc_comissao]])</f>
        <v>952.80565741225757</v>
      </c>
      <c r="S65" s="9">
        <f>(fact_anuncios[[#This Row],[valor_min_produto]] + fact_anuncios[[#This Row],[frete]]) / (1 - fact_anuncios[[#This Row],[perc_comissao]])</f>
        <v>878.8607228915663</v>
      </c>
      <c r="T65" s="9">
        <f>fact_anuncios[[#This Row],[atacado_1]] * 1.0254</f>
        <v>901.18378525301216</v>
      </c>
      <c r="U65" s="1" t="s">
        <v>20</v>
      </c>
    </row>
    <row r="66" spans="1:21" x14ac:dyDescent="0.3">
      <c r="A66" s="1">
        <v>1037</v>
      </c>
      <c r="B66" s="2" t="s">
        <v>203</v>
      </c>
      <c r="C66" s="2" t="s">
        <v>451</v>
      </c>
      <c r="D66" s="6" t="s">
        <v>535</v>
      </c>
      <c r="E66" s="1">
        <v>1</v>
      </c>
      <c r="F66" s="8">
        <v>1600.0806</v>
      </c>
      <c r="G66" s="8">
        <f>fact_anuncios[[#This Row],[preco_unit]]*(1-fact_anuncios[[#This Row],[perc_desconto_min]])</f>
        <v>1440.0725400000001</v>
      </c>
      <c r="H66" s="8">
        <f>fact_anuncios[[#This Row],[preco_unit]]*fact_anuncios[[#This Row],[quantidade_anuncio]]</f>
        <v>1600.0806</v>
      </c>
      <c r="I66" s="1">
        <v>0.1</v>
      </c>
      <c r="J66" s="8">
        <f>fact_anuncios[[#This Row],[preco_min_unit]]*fact_anuncios[[#This Row],[quantidade_anuncio]]</f>
        <v>1440.0725400000001</v>
      </c>
      <c r="K66" s="1" t="s">
        <v>18</v>
      </c>
      <c r="L66" s="1">
        <v>0.17</v>
      </c>
      <c r="M66" s="9">
        <f>fact_anuncios[[#This Row],[preco_sugerido]]*fact_anuncios[[#This Row],[perc_comissao]]</f>
        <v>325.22151885804089</v>
      </c>
      <c r="N66" s="9">
        <v>22.55</v>
      </c>
      <c r="O66" s="4">
        <v>0.08</v>
      </c>
      <c r="P66" s="9">
        <f>fact_anuncios[[#This Row],[valor_tipo]]+fact_anuncios[[#This Row],[frete]]</f>
        <v>347.77151885804091</v>
      </c>
      <c r="Q66" s="9">
        <f>(fact_anuncios[[#This Row],[valor_tipo]]+fact_anuncios[[#This Row],[frete]])*(1+fact_anuncios[[#This Row],[markup_promo]])</f>
        <v>375.5932403666842</v>
      </c>
      <c r="R66" s="9">
        <f>((fact_anuncios[[#This Row],[valor_min_produto]] / (1-fact_anuncios[[#This Row],[markup_promo]])) +fact_anuncios[[#This Row],[frete]]) / (1 - fact_anuncios[[#This Row],[perc_comissao]])</f>
        <v>1913.0677579884757</v>
      </c>
      <c r="S66" s="9">
        <f>(fact_anuncios[[#This Row],[valor_min_produto]] + fact_anuncios[[#This Row],[frete]]) / (1 - fact_anuncios[[#This Row],[perc_comissao]])</f>
        <v>1762.1958313253015</v>
      </c>
      <c r="T66" s="9">
        <f>fact_anuncios[[#This Row],[atacado_1]] * 1.0254</f>
        <v>1806.9556054409643</v>
      </c>
      <c r="U66" s="1" t="s">
        <v>22</v>
      </c>
    </row>
    <row r="67" spans="1:21" x14ac:dyDescent="0.3">
      <c r="A67" s="1">
        <v>1038</v>
      </c>
      <c r="B67" s="2" t="s">
        <v>185</v>
      </c>
      <c r="C67" s="2" t="s">
        <v>452</v>
      </c>
      <c r="D67" s="6" t="s">
        <v>487</v>
      </c>
      <c r="E67" s="1">
        <v>1</v>
      </c>
      <c r="F67" s="8">
        <v>525.69910000000004</v>
      </c>
      <c r="G67" s="8">
        <f>fact_anuncios[[#This Row],[preco_unit]]*(1-fact_anuncios[[#This Row],[perc_desconto_min]])</f>
        <v>481.01467650000006</v>
      </c>
      <c r="H67" s="8">
        <f>fact_anuncios[[#This Row],[preco_unit]]*fact_anuncios[[#This Row],[quantidade_anuncio]]</f>
        <v>525.69910000000004</v>
      </c>
      <c r="I67" s="1">
        <v>8.5000000000000006E-2</v>
      </c>
      <c r="J67" s="8">
        <f>fact_anuncios[[#This Row],[preco_min_unit]]*fact_anuncios[[#This Row],[quantidade_anuncio]]</f>
        <v>481.01467650000006</v>
      </c>
      <c r="K67" s="1" t="s">
        <v>18</v>
      </c>
      <c r="L67" s="1">
        <v>0.14000000000000001</v>
      </c>
      <c r="M67" s="9">
        <f>fact_anuncios[[#This Row],[preco_sugerido]]*fact_anuncios[[#This Row],[perc_comissao]]</f>
        <v>89.126611109706786</v>
      </c>
      <c r="N67" s="9">
        <v>24.65</v>
      </c>
      <c r="O67" s="4">
        <v>0.08</v>
      </c>
      <c r="P67" s="9">
        <f>fact_anuncios[[#This Row],[valor_tipo]]+fact_anuncios[[#This Row],[frete]]</f>
        <v>113.77661110970678</v>
      </c>
      <c r="Q67" s="9">
        <f>(fact_anuncios[[#This Row],[valor_tipo]]+fact_anuncios[[#This Row],[frete]])*(1+fact_anuncios[[#This Row],[markup_promo]])</f>
        <v>122.87873999848333</v>
      </c>
      <c r="R67" s="9">
        <f>((fact_anuncios[[#This Row],[valor_min_produto]] / (1-fact_anuncios[[#This Row],[markup_promo]])) +fact_anuncios[[#This Row],[frete]]) / (1 - fact_anuncios[[#This Row],[perc_comissao]])</f>
        <v>636.61865078361984</v>
      </c>
      <c r="S67" s="9">
        <f>(fact_anuncios[[#This Row],[valor_min_produto]] + fact_anuncios[[#This Row],[frete]]) / (1 - fact_anuncios[[#This Row],[perc_comissao]])</f>
        <v>587.98218197674419</v>
      </c>
      <c r="T67" s="9">
        <f>fact_anuncios[[#This Row],[atacado_1]] * 1.0254</f>
        <v>602.91692939895358</v>
      </c>
      <c r="U67" s="1" t="s">
        <v>22</v>
      </c>
    </row>
    <row r="68" spans="1:21" x14ac:dyDescent="0.3">
      <c r="A68" s="1">
        <v>1039</v>
      </c>
      <c r="B68" s="2" t="s">
        <v>206</v>
      </c>
      <c r="C68" s="2" t="s">
        <v>351</v>
      </c>
      <c r="D68" s="6" t="s">
        <v>488</v>
      </c>
      <c r="E68" s="1">
        <v>10</v>
      </c>
      <c r="F68" s="8">
        <v>7.6361999999999997</v>
      </c>
      <c r="G68" s="8">
        <f>fact_anuncios[[#This Row],[preco_unit]]*(1-fact_anuncios[[#This Row],[perc_desconto_min]])</f>
        <v>6.9871229999999995</v>
      </c>
      <c r="H68" s="8">
        <f>fact_anuncios[[#This Row],[preco_unit]]*fact_anuncios[[#This Row],[quantidade_anuncio]]</f>
        <v>76.361999999999995</v>
      </c>
      <c r="I68" s="1">
        <v>8.5000000000000006E-2</v>
      </c>
      <c r="J68" s="8">
        <f>fact_anuncios[[#This Row],[preco_min_unit]]*fact_anuncios[[#This Row],[quantidade_anuncio]]</f>
        <v>69.871229999999997</v>
      </c>
      <c r="K68" s="1" t="s">
        <v>19</v>
      </c>
      <c r="L68" s="1">
        <v>0.12</v>
      </c>
      <c r="M68" s="9">
        <f>fact_anuncios[[#This Row],[preco_sugerido]]*fact_anuncios[[#This Row],[perc_comissao]]</f>
        <v>12.040498517786558</v>
      </c>
      <c r="N68" s="9">
        <v>12.35</v>
      </c>
      <c r="O68" s="4">
        <v>0.08</v>
      </c>
      <c r="P68" s="9">
        <f>fact_anuncios[[#This Row],[valor_tipo]]+fact_anuncios[[#This Row],[frete]]</f>
        <v>24.390498517786558</v>
      </c>
      <c r="Q68" s="9">
        <f>(fact_anuncios[[#This Row],[valor_tipo]]+fact_anuncios[[#This Row],[frete]])*(1+fact_anuncios[[#This Row],[markup_promo]])</f>
        <v>26.341738399209483</v>
      </c>
      <c r="R68" s="9">
        <f>((fact_anuncios[[#This Row],[valor_min_produto]] / (1-fact_anuncios[[#This Row],[markup_promo]])) +fact_anuncios[[#This Row],[frete]]) / (1 - fact_anuncios[[#This Row],[perc_comissao]])</f>
        <v>100.33748764822133</v>
      </c>
      <c r="S68" s="9">
        <f>(fact_anuncios[[#This Row],[valor_min_produto]] + fact_anuncios[[#This Row],[frete]]) / (1 - fact_anuncios[[#This Row],[perc_comissao]])</f>
        <v>93.433215909090904</v>
      </c>
      <c r="T68" s="9">
        <f>fact_anuncios[[#This Row],[atacado_1]] * 1.0254</f>
        <v>95.806419593181815</v>
      </c>
      <c r="U68" s="1" t="s">
        <v>21</v>
      </c>
    </row>
    <row r="69" spans="1:21" x14ac:dyDescent="0.3">
      <c r="A69" s="1">
        <v>1040</v>
      </c>
      <c r="B69" s="2" t="s">
        <v>180</v>
      </c>
      <c r="C69" s="2" t="s">
        <v>352</v>
      </c>
      <c r="D69" s="6" t="s">
        <v>489</v>
      </c>
      <c r="E69" s="1">
        <v>15</v>
      </c>
      <c r="F69" s="8">
        <v>3.9302999999999999</v>
      </c>
      <c r="G69" s="8">
        <f>fact_anuncios[[#This Row],[preco_unit]]*(1-fact_anuncios[[#This Row],[perc_desconto_min]])</f>
        <v>3.6551789999999995</v>
      </c>
      <c r="H69" s="8">
        <f>fact_anuncios[[#This Row],[preco_unit]]*fact_anuncios[[#This Row],[quantidade_anuncio]]</f>
        <v>58.954499999999996</v>
      </c>
      <c r="I69" s="1">
        <v>7.0000000000000007E-2</v>
      </c>
      <c r="J69" s="8">
        <f>fact_anuncios[[#This Row],[preco_min_unit]]*fact_anuncios[[#This Row],[quantidade_anuncio]]</f>
        <v>54.827684999999995</v>
      </c>
      <c r="K69" s="1" t="s">
        <v>18</v>
      </c>
      <c r="L69" s="1">
        <v>0.17</v>
      </c>
      <c r="M69" s="9">
        <f>fact_anuncios[[#This Row],[preco_sugerido]]*fact_anuncios[[#This Row],[perc_comissao]]</f>
        <v>14.920123690413831</v>
      </c>
      <c r="N69" s="9">
        <v>13.25</v>
      </c>
      <c r="O69" s="4">
        <v>0.08</v>
      </c>
      <c r="P69" s="9">
        <f>fact_anuncios[[#This Row],[valor_tipo]]+fact_anuncios[[#This Row],[frete]]</f>
        <v>28.170123690413831</v>
      </c>
      <c r="Q69" s="9">
        <f>(fact_anuncios[[#This Row],[valor_tipo]]+fact_anuncios[[#This Row],[frete]])*(1+fact_anuncios[[#This Row],[markup_promo]])</f>
        <v>30.423733585646939</v>
      </c>
      <c r="R69" s="9">
        <f>((fact_anuncios[[#This Row],[valor_min_produto]] / (1-fact_anuncios[[#This Row],[markup_promo]])) +fact_anuncios[[#This Row],[frete]]) / (1 - fact_anuncios[[#This Row],[perc_comissao]])</f>
        <v>87.765433473022526</v>
      </c>
      <c r="S69" s="9">
        <f>(fact_anuncios[[#This Row],[valor_min_produto]] + fact_anuncios[[#This Row],[frete]]) / (1 - fact_anuncios[[#This Row],[perc_comissao]])</f>
        <v>82.021307228915674</v>
      </c>
      <c r="T69" s="9">
        <f>fact_anuncios[[#This Row],[atacado_1]] * 1.0254</f>
        <v>84.104648432530141</v>
      </c>
      <c r="U69" s="1" t="s">
        <v>4</v>
      </c>
    </row>
    <row r="70" spans="1:21" x14ac:dyDescent="0.3">
      <c r="A70" s="1">
        <v>1041</v>
      </c>
      <c r="B70" s="2" t="s">
        <v>258</v>
      </c>
      <c r="C70" s="2" t="s">
        <v>453</v>
      </c>
      <c r="D70" s="6" t="s">
        <v>536</v>
      </c>
      <c r="E70" s="1">
        <v>1</v>
      </c>
      <c r="F70" s="8">
        <v>3483.9229999999998</v>
      </c>
      <c r="G70" s="8">
        <f>fact_anuncios[[#This Row],[preco_unit]]*(1-fact_anuncios[[#This Row],[perc_desconto_min]])</f>
        <v>3483.5746076999999</v>
      </c>
      <c r="H70" s="8">
        <f>fact_anuncios[[#This Row],[preco_unit]]*fact_anuncios[[#This Row],[quantidade_anuncio]]</f>
        <v>3483.9229999999998</v>
      </c>
      <c r="I70" s="1">
        <v>1E-4</v>
      </c>
      <c r="J70" s="8">
        <f>fact_anuncios[[#This Row],[preco_min_unit]]*fact_anuncios[[#This Row],[quantidade_anuncio]]</f>
        <v>3483.5746076999999</v>
      </c>
      <c r="K70" s="1" t="s">
        <v>18</v>
      </c>
      <c r="L70" s="1">
        <v>0.17</v>
      </c>
      <c r="M70" s="9">
        <f>fact_anuncios[[#This Row],[preco_sugerido]]*fact_anuncios[[#This Row],[perc_comissao]]</f>
        <v>789.93554650209546</v>
      </c>
      <c r="N70" s="9">
        <v>70.25</v>
      </c>
      <c r="O70" s="4">
        <v>0.08</v>
      </c>
      <c r="P70" s="9">
        <f>fact_anuncios[[#This Row],[valor_tipo]]+fact_anuncios[[#This Row],[frete]]</f>
        <v>860.18554650209546</v>
      </c>
      <c r="Q70" s="9">
        <f>(fact_anuncios[[#This Row],[valor_tipo]]+fact_anuncios[[#This Row],[frete]])*(1+fact_anuncios[[#This Row],[markup_promo]])</f>
        <v>929.00039022226315</v>
      </c>
      <c r="R70" s="9">
        <f>((fact_anuncios[[#This Row],[valor_min_produto]] / (1-fact_anuncios[[#This Row],[markup_promo]])) +fact_anuncios[[#This Row],[frete]]) / (1 - fact_anuncios[[#This Row],[perc_comissao]])</f>
        <v>4646.6796853064434</v>
      </c>
      <c r="S70" s="9">
        <f>(fact_anuncios[[#This Row],[valor_min_produto]] + fact_anuncios[[#This Row],[frete]]) / (1 - fact_anuncios[[#This Row],[perc_comissao]])</f>
        <v>4281.7163948192774</v>
      </c>
      <c r="T70" s="9">
        <f>fact_anuncios[[#This Row],[atacado_1]] * 1.0254</f>
        <v>4390.4719912476876</v>
      </c>
      <c r="U70" s="1" t="s">
        <v>6</v>
      </c>
    </row>
    <row r="71" spans="1:21" x14ac:dyDescent="0.3">
      <c r="A71" s="1">
        <v>1041</v>
      </c>
      <c r="B71" s="2" t="s">
        <v>259</v>
      </c>
      <c r="C71" s="2" t="s">
        <v>353</v>
      </c>
      <c r="D71" s="6" t="s">
        <v>536</v>
      </c>
      <c r="E71" s="1">
        <v>1</v>
      </c>
      <c r="F71" s="8">
        <v>3483.9229999999998</v>
      </c>
      <c r="G71" s="8">
        <f>fact_anuncios[[#This Row],[preco_unit]]*(1-fact_anuncios[[#This Row],[perc_desconto_min]])</f>
        <v>3483.5746076999999</v>
      </c>
      <c r="H71" s="8">
        <f>fact_anuncios[[#This Row],[preco_unit]]*fact_anuncios[[#This Row],[quantidade_anuncio]]</f>
        <v>3483.9229999999998</v>
      </c>
      <c r="I71" s="1">
        <v>1E-4</v>
      </c>
      <c r="J71" s="8">
        <f>fact_anuncios[[#This Row],[preco_min_unit]]*fact_anuncios[[#This Row],[quantidade_anuncio]]</f>
        <v>3483.5746076999999</v>
      </c>
      <c r="K71" s="1" t="s">
        <v>18</v>
      </c>
      <c r="L71" s="1">
        <v>0.17</v>
      </c>
      <c r="M71" s="9">
        <f>fact_anuncios[[#This Row],[preco_sugerido]]*fact_anuncios[[#This Row],[perc_comissao]]</f>
        <v>789.93554650209546</v>
      </c>
      <c r="N71" s="9">
        <v>70.25</v>
      </c>
      <c r="O71" s="4">
        <v>0.08</v>
      </c>
      <c r="P71" s="9">
        <f>fact_anuncios[[#This Row],[valor_tipo]]+fact_anuncios[[#This Row],[frete]]</f>
        <v>860.18554650209546</v>
      </c>
      <c r="Q71" s="9">
        <f>(fact_anuncios[[#This Row],[valor_tipo]]+fact_anuncios[[#This Row],[frete]])*(1+fact_anuncios[[#This Row],[markup_promo]])</f>
        <v>929.00039022226315</v>
      </c>
      <c r="R71" s="9">
        <f>((fact_anuncios[[#This Row],[valor_min_produto]] / (1-fact_anuncios[[#This Row],[markup_promo]])) +fact_anuncios[[#This Row],[frete]]) / (1 - fact_anuncios[[#This Row],[perc_comissao]])</f>
        <v>4646.6796853064434</v>
      </c>
      <c r="S71" s="9">
        <f>(fact_anuncios[[#This Row],[valor_min_produto]] + fact_anuncios[[#This Row],[frete]]) / (1 - fact_anuncios[[#This Row],[perc_comissao]])</f>
        <v>4281.7163948192774</v>
      </c>
      <c r="T71" s="9">
        <f>fact_anuncios[[#This Row],[atacado_1]] * 1.0254</f>
        <v>4390.4719912476876</v>
      </c>
      <c r="U71" s="1" t="s">
        <v>6</v>
      </c>
    </row>
    <row r="72" spans="1:21" x14ac:dyDescent="0.3">
      <c r="A72" s="1">
        <v>1042</v>
      </c>
      <c r="B72" s="2" t="s">
        <v>233</v>
      </c>
      <c r="C72" s="2" t="s">
        <v>354</v>
      </c>
      <c r="D72" s="6" t="s">
        <v>490</v>
      </c>
      <c r="E72" s="1">
        <v>5</v>
      </c>
      <c r="F72" s="8">
        <v>564.22320000000002</v>
      </c>
      <c r="G72" s="8">
        <f>fact_anuncios[[#This Row],[preco_unit]]*(1-fact_anuncios[[#This Row],[perc_desconto_min]])</f>
        <v>522.47068319999994</v>
      </c>
      <c r="H72" s="8">
        <f>fact_anuncios[[#This Row],[preco_unit]]*fact_anuncios[[#This Row],[quantidade_anuncio]]</f>
        <v>2821.116</v>
      </c>
      <c r="I72" s="1">
        <v>7.400000000000001E-2</v>
      </c>
      <c r="J72" s="8">
        <f>fact_anuncios[[#This Row],[preco_min_unit]]*fact_anuncios[[#This Row],[quantidade_anuncio]]</f>
        <v>2612.3534159999999</v>
      </c>
      <c r="K72" s="1" t="s">
        <v>18</v>
      </c>
      <c r="L72" s="1">
        <v>0.17</v>
      </c>
      <c r="M72" s="9">
        <f>fact_anuncios[[#This Row],[preco_sugerido]]*fact_anuncios[[#This Row],[perc_comissao]]</f>
        <v>586.20599884756427</v>
      </c>
      <c r="N72" s="9">
        <v>22.55</v>
      </c>
      <c r="O72" s="4">
        <v>0.08</v>
      </c>
      <c r="P72" s="9">
        <f>fact_anuncios[[#This Row],[valor_tipo]]+fact_anuncios[[#This Row],[frete]]</f>
        <v>608.75599884756423</v>
      </c>
      <c r="Q72" s="9">
        <f>(fact_anuncios[[#This Row],[valor_tipo]]+fact_anuncios[[#This Row],[frete]])*(1+fact_anuncios[[#This Row],[markup_promo]])</f>
        <v>657.4564787553694</v>
      </c>
      <c r="R72" s="9">
        <f>((fact_anuncios[[#This Row],[valor_min_produto]] / (1-fact_anuncios[[#This Row],[markup_promo]])) +fact_anuncios[[#This Row],[frete]]) / (1 - fact_anuncios[[#This Row],[perc_comissao]])</f>
        <v>3448.2705814562601</v>
      </c>
      <c r="S72" s="9">
        <f>(fact_anuncios[[#This Row],[valor_min_produto]] + fact_anuncios[[#This Row],[frete]]) / (1 - fact_anuncios[[#This Row],[perc_comissao]])</f>
        <v>3174.5824289156631</v>
      </c>
      <c r="T72" s="9">
        <f>fact_anuncios[[#This Row],[atacado_1]] * 1.0254</f>
        <v>3255.2168226101212</v>
      </c>
      <c r="U72" s="1" t="s">
        <v>7</v>
      </c>
    </row>
    <row r="73" spans="1:21" x14ac:dyDescent="0.3">
      <c r="A73" s="1">
        <v>1042</v>
      </c>
      <c r="B73" s="2" t="s">
        <v>234</v>
      </c>
      <c r="C73" s="2" t="s">
        <v>454</v>
      </c>
      <c r="D73" s="6" t="s">
        <v>490</v>
      </c>
      <c r="E73" s="1">
        <v>1</v>
      </c>
      <c r="F73" s="8">
        <v>564.22320000000002</v>
      </c>
      <c r="G73" s="8">
        <f>fact_anuncios[[#This Row],[preco_unit]]*(1-fact_anuncios[[#This Row],[perc_desconto_min]])</f>
        <v>522.47068320000005</v>
      </c>
      <c r="H73" s="8">
        <f>fact_anuncios[[#This Row],[preco_unit]]*fact_anuncios[[#This Row],[quantidade_anuncio]]</f>
        <v>564.22320000000002</v>
      </c>
      <c r="I73" s="1">
        <v>7.3999999999999996E-2</v>
      </c>
      <c r="J73" s="8">
        <f>fact_anuncios[[#This Row],[preco_min_unit]]*fact_anuncios[[#This Row],[quantidade_anuncio]]</f>
        <v>522.47068320000005</v>
      </c>
      <c r="K73" s="1" t="s">
        <v>18</v>
      </c>
      <c r="L73" s="1">
        <v>0.14000000000000001</v>
      </c>
      <c r="M73" s="9">
        <f>fact_anuncios[[#This Row],[preco_sugerido]]*fact_anuncios[[#This Row],[perc_comissao]]</f>
        <v>96.120242224469166</v>
      </c>
      <c r="N73" s="9">
        <v>22.55</v>
      </c>
      <c r="O73" s="4">
        <v>0.08</v>
      </c>
      <c r="P73" s="9">
        <f>fact_anuncios[[#This Row],[valor_tipo]]+fact_anuncios[[#This Row],[frete]]</f>
        <v>118.67024222446916</v>
      </c>
      <c r="Q73" s="9">
        <f>(fact_anuncios[[#This Row],[valor_tipo]]+fact_anuncios[[#This Row],[frete]])*(1+fact_anuncios[[#This Row],[markup_promo]])</f>
        <v>128.16386160242669</v>
      </c>
      <c r="R73" s="9">
        <f>((fact_anuncios[[#This Row],[valor_min_produto]] / (1-fact_anuncios[[#This Row],[markup_promo]])) +fact_anuncios[[#This Row],[frete]]) / (1 - fact_anuncios[[#This Row],[perc_comissao]])</f>
        <v>686.57315874620826</v>
      </c>
      <c r="S73" s="9">
        <f>(fact_anuncios[[#This Row],[valor_min_produto]] + fact_anuncios[[#This Row],[frete]]) / (1 - fact_anuncios[[#This Row],[perc_comissao]])</f>
        <v>633.74498046511633</v>
      </c>
      <c r="T73" s="9">
        <f>fact_anuncios[[#This Row],[atacado_1]] * 1.0254</f>
        <v>649.84210296893036</v>
      </c>
      <c r="U73" s="1" t="s">
        <v>7</v>
      </c>
    </row>
    <row r="74" spans="1:21" x14ac:dyDescent="0.3">
      <c r="A74" s="1">
        <v>1043</v>
      </c>
      <c r="B74" s="2" t="s">
        <v>250</v>
      </c>
      <c r="C74" s="2" t="s">
        <v>455</v>
      </c>
      <c r="D74" s="6" t="s">
        <v>491</v>
      </c>
      <c r="E74" s="1">
        <v>1</v>
      </c>
      <c r="F74" s="8">
        <v>3457.96</v>
      </c>
      <c r="G74" s="8">
        <f>fact_anuncios[[#This Row],[preco_unit]]*(1-fact_anuncios[[#This Row],[perc_desconto_min]])</f>
        <v>3457.614204</v>
      </c>
      <c r="H74" s="8">
        <f>fact_anuncios[[#This Row],[preco_unit]]*fact_anuncios[[#This Row],[quantidade_anuncio]]</f>
        <v>3457.96</v>
      </c>
      <c r="I74" s="1">
        <v>1E-4</v>
      </c>
      <c r="J74" s="8">
        <f>fact_anuncios[[#This Row],[preco_min_unit]]*fact_anuncios[[#This Row],[quantidade_anuncio]]</f>
        <v>3457.614204</v>
      </c>
      <c r="K74" s="1" t="s">
        <v>19</v>
      </c>
      <c r="L74" s="1">
        <v>0.12</v>
      </c>
      <c r="M74" s="9">
        <f>fact_anuncios[[#This Row],[preco_sugerido]]*fact_anuncios[[#This Row],[perc_comissao]]</f>
        <v>527.07631482213424</v>
      </c>
      <c r="N74" s="9">
        <v>106.95</v>
      </c>
      <c r="O74" s="4">
        <v>0.08</v>
      </c>
      <c r="P74" s="9">
        <f>fact_anuncios[[#This Row],[valor_tipo]]+fact_anuncios[[#This Row],[frete]]</f>
        <v>634.02631482213428</v>
      </c>
      <c r="Q74" s="9">
        <f>(fact_anuncios[[#This Row],[valor_tipo]]+fact_anuncios[[#This Row],[frete]])*(1+fact_anuncios[[#This Row],[markup_promo]])</f>
        <v>684.74842000790511</v>
      </c>
      <c r="R74" s="9">
        <f>((fact_anuncios[[#This Row],[valor_min_produto]] / (1-fact_anuncios[[#This Row],[markup_promo]])) +fact_anuncios[[#This Row],[frete]]) / (1 - fact_anuncios[[#This Row],[perc_comissao]])</f>
        <v>4392.3026235177858</v>
      </c>
      <c r="S74" s="9">
        <f>(fact_anuncios[[#This Row],[valor_min_produto]] + fact_anuncios[[#This Row],[frete]]) / (1 - fact_anuncios[[#This Row],[perc_comissao]])</f>
        <v>4050.6411409090906</v>
      </c>
      <c r="T74" s="9">
        <f>fact_anuncios[[#This Row],[atacado_1]] * 1.0254</f>
        <v>4153.5274258881818</v>
      </c>
      <c r="U74" s="1" t="s">
        <v>6</v>
      </c>
    </row>
    <row r="75" spans="1:21" x14ac:dyDescent="0.3">
      <c r="A75" s="1">
        <v>1043</v>
      </c>
      <c r="B75" s="2" t="s">
        <v>251</v>
      </c>
      <c r="C75" s="2" t="s">
        <v>355</v>
      </c>
      <c r="D75" s="6" t="s">
        <v>491</v>
      </c>
      <c r="E75" s="1">
        <v>1</v>
      </c>
      <c r="F75" s="8">
        <v>3457.96</v>
      </c>
      <c r="G75" s="8">
        <f>fact_anuncios[[#This Row],[preco_unit]]*(1-fact_anuncios[[#This Row],[perc_desconto_min]])</f>
        <v>3457.614204</v>
      </c>
      <c r="H75" s="8">
        <f>fact_anuncios[[#This Row],[preco_unit]]*fact_anuncios[[#This Row],[quantidade_anuncio]]</f>
        <v>3457.96</v>
      </c>
      <c r="I75" s="1">
        <v>1E-4</v>
      </c>
      <c r="J75" s="8">
        <f>fact_anuncios[[#This Row],[preco_min_unit]]*fact_anuncios[[#This Row],[quantidade_anuncio]]</f>
        <v>3457.614204</v>
      </c>
      <c r="K75" s="1" t="s">
        <v>18</v>
      </c>
      <c r="L75" s="1">
        <v>0.17</v>
      </c>
      <c r="M75" s="9">
        <f>fact_anuncios[[#This Row],[preco_sugerido]]*fact_anuncios[[#This Row],[perc_comissao]]</f>
        <v>791.67285840754323</v>
      </c>
      <c r="N75" s="9">
        <v>106.95</v>
      </c>
      <c r="O75" s="4">
        <v>0.08</v>
      </c>
      <c r="P75" s="9">
        <f>fact_anuncios[[#This Row],[valor_tipo]]+fact_anuncios[[#This Row],[frete]]</f>
        <v>898.62285840754328</v>
      </c>
      <c r="Q75" s="9">
        <f>(fact_anuncios[[#This Row],[valor_tipo]]+fact_anuncios[[#This Row],[frete]])*(1+fact_anuncios[[#This Row],[markup_promo]])</f>
        <v>970.51268708014675</v>
      </c>
      <c r="R75" s="9">
        <f>((fact_anuncios[[#This Row],[valor_min_produto]] / (1-fact_anuncios[[#This Row],[markup_promo]])) +fact_anuncios[[#This Row],[frete]]) / (1 - fact_anuncios[[#This Row],[perc_comissao]])</f>
        <v>4656.8991671031954</v>
      </c>
      <c r="S75" s="9">
        <f>(fact_anuncios[[#This Row],[valor_min_produto]] + fact_anuncios[[#This Row],[frete]]) / (1 - fact_anuncios[[#This Row],[perc_comissao]])</f>
        <v>4294.6556674698795</v>
      </c>
      <c r="T75" s="9">
        <f>fact_anuncios[[#This Row],[atacado_1]] * 1.0254</f>
        <v>4403.7399214236148</v>
      </c>
      <c r="U75" s="1" t="s">
        <v>6</v>
      </c>
    </row>
    <row r="76" spans="1:21" x14ac:dyDescent="0.3">
      <c r="A76" s="1">
        <v>1044</v>
      </c>
      <c r="B76" s="2" t="s">
        <v>163</v>
      </c>
      <c r="C76" s="2" t="s">
        <v>356</v>
      </c>
      <c r="D76" s="6" t="s">
        <v>492</v>
      </c>
      <c r="E76" s="1">
        <v>10</v>
      </c>
      <c r="F76" s="8">
        <v>19.642399999999999</v>
      </c>
      <c r="G76" s="8">
        <f>fact_anuncios[[#This Row],[preco_unit]]*(1-fact_anuncios[[#This Row],[perc_desconto_min]])</f>
        <v>17.481735999999998</v>
      </c>
      <c r="H76" s="8">
        <f>fact_anuncios[[#This Row],[preco_unit]]*fact_anuncios[[#This Row],[quantidade_anuncio]]</f>
        <v>196.42399999999998</v>
      </c>
      <c r="I76" s="1">
        <v>0.11</v>
      </c>
      <c r="J76" s="8">
        <f>fact_anuncios[[#This Row],[preco_min_unit]]*fact_anuncios[[#This Row],[quantidade_anuncio]]</f>
        <v>174.81735999999998</v>
      </c>
      <c r="K76" s="1" t="s">
        <v>19</v>
      </c>
      <c r="L76" s="1">
        <v>0.12</v>
      </c>
      <c r="M76" s="9">
        <f>fact_anuncios[[#This Row],[preco_sugerido]]*fact_anuncios[[#This Row],[perc_comissao]]</f>
        <v>29.136664031620548</v>
      </c>
      <c r="N76" s="9">
        <v>23.65</v>
      </c>
      <c r="O76" s="4">
        <v>0.08</v>
      </c>
      <c r="P76" s="9">
        <f>fact_anuncios[[#This Row],[valor_tipo]]+fact_anuncios[[#This Row],[frete]]</f>
        <v>52.786664031620546</v>
      </c>
      <c r="Q76" s="9">
        <f>(fact_anuncios[[#This Row],[valor_tipo]]+fact_anuncios[[#This Row],[frete]])*(1+fact_anuncios[[#This Row],[markup_promo]])</f>
        <v>57.009597154150192</v>
      </c>
      <c r="R76" s="9">
        <f>((fact_anuncios[[#This Row],[valor_min_produto]] / (1-fact_anuncios[[#This Row],[markup_promo]])) +fact_anuncios[[#This Row],[frete]]) / (1 - fact_anuncios[[#This Row],[perc_comissao]])</f>
        <v>242.8055335968379</v>
      </c>
      <c r="S76" s="9">
        <f>(fact_anuncios[[#This Row],[valor_min_produto]] + fact_anuncios[[#This Row],[frete]]) / (1 - fact_anuncios[[#This Row],[perc_comissao]])</f>
        <v>225.53109090909089</v>
      </c>
      <c r="T76" s="9">
        <f>fact_anuncios[[#This Row],[atacado_1]] * 1.0254</f>
        <v>231.25958061818181</v>
      </c>
      <c r="U76" s="1" t="s">
        <v>4</v>
      </c>
    </row>
    <row r="77" spans="1:21" x14ac:dyDescent="0.3">
      <c r="A77" s="1">
        <v>1044</v>
      </c>
      <c r="B77" s="2" t="s">
        <v>164</v>
      </c>
      <c r="C77" s="2" t="s">
        <v>357</v>
      </c>
      <c r="D77" s="6" t="s">
        <v>492</v>
      </c>
      <c r="E77" s="1">
        <v>10</v>
      </c>
      <c r="F77" s="8">
        <v>19.642399999999999</v>
      </c>
      <c r="G77" s="8">
        <f>fact_anuncios[[#This Row],[preco_unit]]*(1-fact_anuncios[[#This Row],[perc_desconto_min]])</f>
        <v>17.481735999999998</v>
      </c>
      <c r="H77" s="8">
        <f>fact_anuncios[[#This Row],[preco_unit]]*fact_anuncios[[#This Row],[quantidade_anuncio]]</f>
        <v>196.42399999999998</v>
      </c>
      <c r="I77" s="1">
        <v>0.11</v>
      </c>
      <c r="J77" s="8">
        <f>fact_anuncios[[#This Row],[preco_min_unit]]*fact_anuncios[[#This Row],[quantidade_anuncio]]</f>
        <v>174.81735999999998</v>
      </c>
      <c r="K77" s="1" t="s">
        <v>19</v>
      </c>
      <c r="L77" s="1">
        <v>0.12</v>
      </c>
      <c r="M77" s="9">
        <f>fact_anuncios[[#This Row],[preco_sugerido]]*fact_anuncios[[#This Row],[perc_comissao]]</f>
        <v>29.136664031620548</v>
      </c>
      <c r="N77" s="9">
        <v>23.65</v>
      </c>
      <c r="O77" s="4">
        <v>0.08</v>
      </c>
      <c r="P77" s="9">
        <f>fact_anuncios[[#This Row],[valor_tipo]]+fact_anuncios[[#This Row],[frete]]</f>
        <v>52.786664031620546</v>
      </c>
      <c r="Q77" s="9">
        <f>(fact_anuncios[[#This Row],[valor_tipo]]+fact_anuncios[[#This Row],[frete]])*(1+fact_anuncios[[#This Row],[markup_promo]])</f>
        <v>57.009597154150192</v>
      </c>
      <c r="R77" s="9">
        <f>((fact_anuncios[[#This Row],[valor_min_produto]] / (1-fact_anuncios[[#This Row],[markup_promo]])) +fact_anuncios[[#This Row],[frete]]) / (1 - fact_anuncios[[#This Row],[perc_comissao]])</f>
        <v>242.8055335968379</v>
      </c>
      <c r="S77" s="9">
        <f>(fact_anuncios[[#This Row],[valor_min_produto]] + fact_anuncios[[#This Row],[frete]]) / (1 - fact_anuncios[[#This Row],[perc_comissao]])</f>
        <v>225.53109090909089</v>
      </c>
      <c r="T77" s="9">
        <f>fact_anuncios[[#This Row],[atacado_1]] * 1.0254</f>
        <v>231.25958061818181</v>
      </c>
      <c r="U77" s="1" t="s">
        <v>4</v>
      </c>
    </row>
    <row r="78" spans="1:21" x14ac:dyDescent="0.3">
      <c r="A78" s="1">
        <v>1044</v>
      </c>
      <c r="B78" s="2" t="s">
        <v>165</v>
      </c>
      <c r="C78" s="2" t="s">
        <v>358</v>
      </c>
      <c r="D78" s="6" t="s">
        <v>492</v>
      </c>
      <c r="E78" s="1">
        <v>10</v>
      </c>
      <c r="F78" s="8">
        <v>19.642399999999999</v>
      </c>
      <c r="G78" s="8">
        <f>fact_anuncios[[#This Row],[preco_unit]]*(1-fact_anuncios[[#This Row],[perc_desconto_min]])</f>
        <v>17.481735999999998</v>
      </c>
      <c r="H78" s="8">
        <f>fact_anuncios[[#This Row],[preco_unit]]*fact_anuncios[[#This Row],[quantidade_anuncio]]</f>
        <v>196.42399999999998</v>
      </c>
      <c r="I78" s="1">
        <v>0.11</v>
      </c>
      <c r="J78" s="8">
        <f>fact_anuncios[[#This Row],[preco_min_unit]]*fact_anuncios[[#This Row],[quantidade_anuncio]]</f>
        <v>174.81735999999998</v>
      </c>
      <c r="K78" s="1" t="s">
        <v>18</v>
      </c>
      <c r="L78" s="1">
        <v>0.14000000000000001</v>
      </c>
      <c r="M78" s="9">
        <f>fact_anuncios[[#This Row],[preco_sugerido]]*fact_anuncios[[#This Row],[perc_comissao]]</f>
        <v>34.343769464105151</v>
      </c>
      <c r="N78" s="9">
        <v>20.95</v>
      </c>
      <c r="O78" s="4">
        <v>0.08</v>
      </c>
      <c r="P78" s="9">
        <f>fact_anuncios[[#This Row],[valor_tipo]]+fact_anuncios[[#This Row],[frete]]</f>
        <v>55.293769464105154</v>
      </c>
      <c r="Q78" s="9">
        <f>(fact_anuncios[[#This Row],[valor_tipo]]+fact_anuncios[[#This Row],[frete]])*(1+fact_anuncios[[#This Row],[markup_promo]])</f>
        <v>59.717271021233572</v>
      </c>
      <c r="R78" s="9">
        <f>((fact_anuncios[[#This Row],[valor_min_produto]] / (1-fact_anuncios[[#This Row],[markup_promo]])) +fact_anuncios[[#This Row],[frete]]) / (1 - fact_anuncios[[#This Row],[perc_comissao]])</f>
        <v>245.3126390293225</v>
      </c>
      <c r="S78" s="9">
        <f>(fact_anuncios[[#This Row],[valor_min_produto]] + fact_anuncios[[#This Row],[frete]]) / (1 - fact_anuncios[[#This Row],[perc_comissao]])</f>
        <v>227.63646511627903</v>
      </c>
      <c r="T78" s="9">
        <f>fact_anuncios[[#This Row],[atacado_1]] * 1.0254</f>
        <v>233.41843133023252</v>
      </c>
      <c r="U78" s="1" t="s">
        <v>4</v>
      </c>
    </row>
    <row r="79" spans="1:21" x14ac:dyDescent="0.3">
      <c r="A79" s="1">
        <v>1044</v>
      </c>
      <c r="B79" s="2" t="s">
        <v>166</v>
      </c>
      <c r="C79" s="2" t="s">
        <v>359</v>
      </c>
      <c r="D79" s="6" t="s">
        <v>492</v>
      </c>
      <c r="E79" s="1">
        <v>10</v>
      </c>
      <c r="F79" s="8">
        <v>19.642399999999999</v>
      </c>
      <c r="G79" s="8">
        <f>fact_anuncios[[#This Row],[preco_unit]]*(1-fact_anuncios[[#This Row],[perc_desconto_min]])</f>
        <v>17.481735999999998</v>
      </c>
      <c r="H79" s="8">
        <f>fact_anuncios[[#This Row],[preco_unit]]*fact_anuncios[[#This Row],[quantidade_anuncio]]</f>
        <v>196.42399999999998</v>
      </c>
      <c r="I79" s="1">
        <v>0.11</v>
      </c>
      <c r="J79" s="8">
        <f>fact_anuncios[[#This Row],[preco_min_unit]]*fact_anuncios[[#This Row],[quantidade_anuncio]]</f>
        <v>174.81735999999998</v>
      </c>
      <c r="K79" s="1" t="s">
        <v>18</v>
      </c>
      <c r="L79" s="1">
        <v>0.14000000000000001</v>
      </c>
      <c r="M79" s="9">
        <f>fact_anuncios[[#This Row],[preco_sugerido]]*fact_anuncios[[#This Row],[perc_comissao]]</f>
        <v>34.343769464105151</v>
      </c>
      <c r="N79" s="9">
        <v>20.95</v>
      </c>
      <c r="O79" s="4">
        <v>0.08</v>
      </c>
      <c r="P79" s="9">
        <f>fact_anuncios[[#This Row],[valor_tipo]]+fact_anuncios[[#This Row],[frete]]</f>
        <v>55.293769464105154</v>
      </c>
      <c r="Q79" s="9">
        <f>(fact_anuncios[[#This Row],[valor_tipo]]+fact_anuncios[[#This Row],[frete]])*(1+fact_anuncios[[#This Row],[markup_promo]])</f>
        <v>59.717271021233572</v>
      </c>
      <c r="R79" s="9">
        <f>((fact_anuncios[[#This Row],[valor_min_produto]] / (1-fact_anuncios[[#This Row],[markup_promo]])) +fact_anuncios[[#This Row],[frete]]) / (1 - fact_anuncios[[#This Row],[perc_comissao]])</f>
        <v>245.3126390293225</v>
      </c>
      <c r="S79" s="9">
        <f>(fact_anuncios[[#This Row],[valor_min_produto]] + fact_anuncios[[#This Row],[frete]]) / (1 - fact_anuncios[[#This Row],[perc_comissao]])</f>
        <v>227.63646511627903</v>
      </c>
      <c r="T79" s="9">
        <f>fact_anuncios[[#This Row],[atacado_1]] * 1.0254</f>
        <v>233.41843133023252</v>
      </c>
      <c r="U79" s="1" t="s">
        <v>4</v>
      </c>
    </row>
    <row r="80" spans="1:21" x14ac:dyDescent="0.3">
      <c r="A80" s="1">
        <v>1044</v>
      </c>
      <c r="B80" s="2" t="s">
        <v>167</v>
      </c>
      <c r="C80" s="2" t="s">
        <v>360</v>
      </c>
      <c r="D80" s="6" t="s">
        <v>492</v>
      </c>
      <c r="E80" s="1">
        <v>10</v>
      </c>
      <c r="F80" s="8">
        <v>19.642399999999999</v>
      </c>
      <c r="G80" s="8">
        <f>fact_anuncios[[#This Row],[preco_unit]]*(1-fact_anuncios[[#This Row],[perc_desconto_min]])</f>
        <v>17.481735999999998</v>
      </c>
      <c r="H80" s="8">
        <f>fact_anuncios[[#This Row],[preco_unit]]*fact_anuncios[[#This Row],[quantidade_anuncio]]</f>
        <v>196.42399999999998</v>
      </c>
      <c r="I80" s="1">
        <v>0.11</v>
      </c>
      <c r="J80" s="8">
        <f>fact_anuncios[[#This Row],[preco_min_unit]]*fact_anuncios[[#This Row],[quantidade_anuncio]]</f>
        <v>174.81735999999998</v>
      </c>
      <c r="K80" s="1" t="s">
        <v>18</v>
      </c>
      <c r="L80" s="1">
        <v>0.14000000000000001</v>
      </c>
      <c r="M80" s="9">
        <f>fact_anuncios[[#This Row],[preco_sugerido]]*fact_anuncios[[#This Row],[perc_comissao]]</f>
        <v>34.343769464105151</v>
      </c>
      <c r="N80" s="9">
        <v>20.95</v>
      </c>
      <c r="O80" s="4">
        <v>0.08</v>
      </c>
      <c r="P80" s="9">
        <f>fact_anuncios[[#This Row],[valor_tipo]]+fact_anuncios[[#This Row],[frete]]</f>
        <v>55.293769464105154</v>
      </c>
      <c r="Q80" s="9">
        <f>(fact_anuncios[[#This Row],[valor_tipo]]+fact_anuncios[[#This Row],[frete]])*(1+fact_anuncios[[#This Row],[markup_promo]])</f>
        <v>59.717271021233572</v>
      </c>
      <c r="R80" s="9">
        <f>((fact_anuncios[[#This Row],[valor_min_produto]] / (1-fact_anuncios[[#This Row],[markup_promo]])) +fact_anuncios[[#This Row],[frete]]) / (1 - fact_anuncios[[#This Row],[perc_comissao]])</f>
        <v>245.3126390293225</v>
      </c>
      <c r="S80" s="9">
        <f>(fact_anuncios[[#This Row],[valor_min_produto]] + fact_anuncios[[#This Row],[frete]]) / (1 - fact_anuncios[[#This Row],[perc_comissao]])</f>
        <v>227.63646511627903</v>
      </c>
      <c r="T80" s="9">
        <f>fact_anuncios[[#This Row],[atacado_1]] * 1.0254</f>
        <v>233.41843133023252</v>
      </c>
      <c r="U80" s="1" t="s">
        <v>4</v>
      </c>
    </row>
    <row r="81" spans="1:21" x14ac:dyDescent="0.3">
      <c r="A81" s="1">
        <v>1044</v>
      </c>
      <c r="B81" s="2" t="s">
        <v>168</v>
      </c>
      <c r="C81" s="2" t="s">
        <v>456</v>
      </c>
      <c r="D81" s="6" t="s">
        <v>492</v>
      </c>
      <c r="E81" s="1">
        <v>10</v>
      </c>
      <c r="F81" s="8">
        <v>19.642399999999999</v>
      </c>
      <c r="G81" s="8">
        <f>fact_anuncios[[#This Row],[preco_unit]]*(1-fact_anuncios[[#This Row],[perc_desconto_min]])</f>
        <v>17.481735999999998</v>
      </c>
      <c r="H81" s="8">
        <f>fact_anuncios[[#This Row],[preco_unit]]*fact_anuncios[[#This Row],[quantidade_anuncio]]</f>
        <v>196.42399999999998</v>
      </c>
      <c r="I81" s="1">
        <v>0.11</v>
      </c>
      <c r="J81" s="8">
        <f>fact_anuncios[[#This Row],[preco_min_unit]]*fact_anuncios[[#This Row],[quantidade_anuncio]]</f>
        <v>174.81735999999998</v>
      </c>
      <c r="K81" s="1" t="s">
        <v>18</v>
      </c>
      <c r="L81" s="1">
        <v>0.14000000000000001</v>
      </c>
      <c r="M81" s="9">
        <f>fact_anuncios[[#This Row],[preco_sugerido]]*fact_anuncios[[#This Row],[perc_comissao]]</f>
        <v>34.343769464105151</v>
      </c>
      <c r="N81" s="9">
        <v>20.95</v>
      </c>
      <c r="O81" s="4">
        <v>0.08</v>
      </c>
      <c r="P81" s="9">
        <f>fact_anuncios[[#This Row],[valor_tipo]]+fact_anuncios[[#This Row],[frete]]</f>
        <v>55.293769464105154</v>
      </c>
      <c r="Q81" s="9">
        <f>(fact_anuncios[[#This Row],[valor_tipo]]+fact_anuncios[[#This Row],[frete]])*(1+fact_anuncios[[#This Row],[markup_promo]])</f>
        <v>59.717271021233572</v>
      </c>
      <c r="R81" s="9">
        <f>((fact_anuncios[[#This Row],[valor_min_produto]] / (1-fact_anuncios[[#This Row],[markup_promo]])) +fact_anuncios[[#This Row],[frete]]) / (1 - fact_anuncios[[#This Row],[perc_comissao]])</f>
        <v>245.3126390293225</v>
      </c>
      <c r="S81" s="9">
        <f>(fact_anuncios[[#This Row],[valor_min_produto]] + fact_anuncios[[#This Row],[frete]]) / (1 - fact_anuncios[[#This Row],[perc_comissao]])</f>
        <v>227.63646511627903</v>
      </c>
      <c r="T81" s="9">
        <f>fact_anuncios[[#This Row],[atacado_1]] * 1.0254</f>
        <v>233.41843133023252</v>
      </c>
      <c r="U81" s="1" t="s">
        <v>4</v>
      </c>
    </row>
    <row r="82" spans="1:21" x14ac:dyDescent="0.3">
      <c r="A82" s="1">
        <v>1046</v>
      </c>
      <c r="B82" s="2" t="s">
        <v>302</v>
      </c>
      <c r="C82" s="2" t="s">
        <v>457</v>
      </c>
      <c r="D82" s="6" t="s">
        <v>493</v>
      </c>
      <c r="E82" s="1">
        <v>1</v>
      </c>
      <c r="F82" s="8">
        <v>628.97559999999999</v>
      </c>
      <c r="G82" s="8">
        <f>fact_anuncios[[#This Row],[preco_unit]]*(1-fact_anuncios[[#This Row],[perc_desconto_min]])</f>
        <v>534.62925999999993</v>
      </c>
      <c r="H82" s="8">
        <f>fact_anuncios[[#This Row],[preco_unit]]*fact_anuncios[[#This Row],[quantidade_anuncio]]</f>
        <v>628.97559999999999</v>
      </c>
      <c r="I82" s="1">
        <v>0.15</v>
      </c>
      <c r="J82" s="8">
        <f>fact_anuncios[[#This Row],[preco_min_unit]]*fact_anuncios[[#This Row],[quantidade_anuncio]]</f>
        <v>534.62925999999993</v>
      </c>
      <c r="K82" s="1" t="s">
        <v>18</v>
      </c>
      <c r="L82" s="1">
        <v>0.17</v>
      </c>
      <c r="M82" s="9">
        <f>fact_anuncios[[#This Row],[preco_sugerido]]*fact_anuncios[[#This Row],[perc_comissao]]</f>
        <v>125.32251728653745</v>
      </c>
      <c r="N82" s="9">
        <v>30.75</v>
      </c>
      <c r="O82" s="4">
        <v>0.08</v>
      </c>
      <c r="P82" s="9">
        <f>fact_anuncios[[#This Row],[valor_tipo]]+fact_anuncios[[#This Row],[frete]]</f>
        <v>156.07251728653745</v>
      </c>
      <c r="Q82" s="9">
        <f>(fact_anuncios[[#This Row],[valor_tipo]]+fact_anuncios[[#This Row],[frete]])*(1+fact_anuncios[[#This Row],[markup_promo]])</f>
        <v>168.55831866946045</v>
      </c>
      <c r="R82" s="9">
        <f>((fact_anuncios[[#This Row],[valor_min_produto]] / (1-fact_anuncios[[#This Row],[markup_promo]])) +fact_anuncios[[#This Row],[frete]]) / (1 - fact_anuncios[[#This Row],[perc_comissao]])</f>
        <v>737.19127815610261</v>
      </c>
      <c r="S82" s="9">
        <f>(fact_anuncios[[#This Row],[valor_min_produto]] + fact_anuncios[[#This Row],[frete]]) / (1 - fact_anuncios[[#This Row],[perc_comissao]])</f>
        <v>681.17983132530117</v>
      </c>
      <c r="T82" s="9">
        <f>fact_anuncios[[#This Row],[atacado_1]] * 1.0254</f>
        <v>698.48179904096389</v>
      </c>
      <c r="U82" s="1" t="s">
        <v>27</v>
      </c>
    </row>
    <row r="83" spans="1:21" x14ac:dyDescent="0.3">
      <c r="A83" s="1">
        <v>1047</v>
      </c>
      <c r="B83" s="2" t="s">
        <v>209</v>
      </c>
      <c r="C83" s="2" t="s">
        <v>361</v>
      </c>
      <c r="D83" s="6" t="s">
        <v>494</v>
      </c>
      <c r="E83" s="1">
        <v>5</v>
      </c>
      <c r="F83" s="8">
        <v>3.8915000000000002</v>
      </c>
      <c r="G83" s="8">
        <f>fact_anuncios[[#This Row],[preco_unit]]*(1-fact_anuncios[[#This Row],[perc_desconto_min]])</f>
        <v>3.5023500000000003</v>
      </c>
      <c r="H83" s="8">
        <f>fact_anuncios[[#This Row],[preco_unit]]*fact_anuncios[[#This Row],[quantidade_anuncio]]</f>
        <v>19.4575</v>
      </c>
      <c r="I83" s="1">
        <v>0.1</v>
      </c>
      <c r="J83" s="8">
        <f>fact_anuncios[[#This Row],[preco_min_unit]]*fact_anuncios[[#This Row],[quantidade_anuncio]]</f>
        <v>17.511750000000003</v>
      </c>
      <c r="K83" s="1" t="s">
        <v>18</v>
      </c>
      <c r="L83" s="1">
        <v>0.17</v>
      </c>
      <c r="M83" s="9">
        <f>fact_anuncios[[#This Row],[preco_sugerido]]*fact_anuncios[[#This Row],[perc_comissao]]</f>
        <v>6.4281528287061303</v>
      </c>
      <c r="N83" s="9">
        <v>12.35</v>
      </c>
      <c r="O83" s="4">
        <v>0.08</v>
      </c>
      <c r="P83" s="9">
        <f>fact_anuncios[[#This Row],[valor_tipo]]+fact_anuncios[[#This Row],[frete]]</f>
        <v>18.77815282870613</v>
      </c>
      <c r="Q83" s="9">
        <f>(fact_anuncios[[#This Row],[valor_tipo]]+fact_anuncios[[#This Row],[frete]])*(1+fact_anuncios[[#This Row],[markup_promo]])</f>
        <v>20.280405055002621</v>
      </c>
      <c r="R83" s="9">
        <f>((fact_anuncios[[#This Row],[valor_min_produto]] / (1-fact_anuncios[[#This Row],[markup_promo]])) +fact_anuncios[[#This Row],[frete]]) / (1 - fact_anuncios[[#This Row],[perc_comissao]])</f>
        <v>37.812663698271351</v>
      </c>
      <c r="S83" s="9">
        <f>(fact_anuncios[[#This Row],[valor_min_produto]] + fact_anuncios[[#This Row],[frete]]) / (1 - fact_anuncios[[#This Row],[perc_comissao]])</f>
        <v>35.978012048192774</v>
      </c>
      <c r="T83" s="9">
        <f>fact_anuncios[[#This Row],[atacado_1]] * 1.0254</f>
        <v>36.891853554216873</v>
      </c>
      <c r="U83" s="1" t="s">
        <v>4</v>
      </c>
    </row>
    <row r="84" spans="1:21" x14ac:dyDescent="0.3">
      <c r="A84" s="1">
        <v>1047</v>
      </c>
      <c r="B84" s="2" t="s">
        <v>210</v>
      </c>
      <c r="C84" s="2" t="s">
        <v>362</v>
      </c>
      <c r="D84" s="6" t="s">
        <v>494</v>
      </c>
      <c r="E84" s="1">
        <v>10</v>
      </c>
      <c r="F84" s="8">
        <v>3.8915000000000002</v>
      </c>
      <c r="G84" s="8">
        <f>fact_anuncios[[#This Row],[preco_unit]]*(1-fact_anuncios[[#This Row],[perc_desconto_min]])</f>
        <v>3.5023500000000003</v>
      </c>
      <c r="H84" s="8">
        <f>fact_anuncios[[#This Row],[preco_unit]]*fact_anuncios[[#This Row],[quantidade_anuncio]]</f>
        <v>38.914999999999999</v>
      </c>
      <c r="I84" s="1">
        <v>0.1</v>
      </c>
      <c r="J84" s="8">
        <f>fact_anuncios[[#This Row],[preco_min_unit]]*fact_anuncios[[#This Row],[quantidade_anuncio]]</f>
        <v>35.023500000000006</v>
      </c>
      <c r="K84" s="1" t="s">
        <v>18</v>
      </c>
      <c r="L84" s="1">
        <v>0.17</v>
      </c>
      <c r="M84" s="9">
        <f>fact_anuncios[[#This Row],[preco_sugerido]]*fact_anuncios[[#This Row],[perc_comissao]]</f>
        <v>10.634016500785755</v>
      </c>
      <c r="N84" s="9">
        <v>13.85</v>
      </c>
      <c r="O84" s="4">
        <v>0.08</v>
      </c>
      <c r="P84" s="9">
        <f>fact_anuncios[[#This Row],[valor_tipo]]+fact_anuncios[[#This Row],[frete]]</f>
        <v>24.484016500785756</v>
      </c>
      <c r="Q84" s="9">
        <f>(fact_anuncios[[#This Row],[valor_tipo]]+fact_anuncios[[#This Row],[frete]])*(1+fact_anuncios[[#This Row],[markup_promo]])</f>
        <v>26.44273782084862</v>
      </c>
      <c r="R84" s="9">
        <f>((fact_anuncios[[#This Row],[valor_min_produto]] / (1-fact_anuncios[[#This Row],[markup_promo]])) +fact_anuncios[[#This Row],[frete]]) / (1 - fact_anuncios[[#This Row],[perc_comissao]])</f>
        <v>62.553038239916198</v>
      </c>
      <c r="S84" s="9">
        <f>(fact_anuncios[[#This Row],[valor_min_produto]] + fact_anuncios[[#This Row],[frete]]) / (1 - fact_anuncios[[#This Row],[perc_comissao]])</f>
        <v>58.883734939759044</v>
      </c>
      <c r="T84" s="9">
        <f>fact_anuncios[[#This Row],[atacado_1]] * 1.0254</f>
        <v>60.379381807228931</v>
      </c>
      <c r="U84" s="1" t="s">
        <v>4</v>
      </c>
    </row>
    <row r="85" spans="1:21" x14ac:dyDescent="0.3">
      <c r="A85" s="1">
        <v>1047</v>
      </c>
      <c r="B85" s="2" t="s">
        <v>211</v>
      </c>
      <c r="C85" s="2" t="s">
        <v>363</v>
      </c>
      <c r="D85" s="6" t="s">
        <v>494</v>
      </c>
      <c r="E85" s="1">
        <v>10</v>
      </c>
      <c r="F85" s="8">
        <v>3.8915000000000002</v>
      </c>
      <c r="G85" s="8">
        <f>fact_anuncios[[#This Row],[preco_unit]]*(1-fact_anuncios[[#This Row],[perc_desconto_min]])</f>
        <v>3.5023500000000003</v>
      </c>
      <c r="H85" s="8">
        <f>fact_anuncios[[#This Row],[preco_unit]]*fact_anuncios[[#This Row],[quantidade_anuncio]]</f>
        <v>38.914999999999999</v>
      </c>
      <c r="I85" s="1">
        <v>0.1</v>
      </c>
      <c r="J85" s="8">
        <f>fact_anuncios[[#This Row],[preco_min_unit]]*fact_anuncios[[#This Row],[quantidade_anuncio]]</f>
        <v>35.023500000000006</v>
      </c>
      <c r="K85" s="1" t="s">
        <v>18</v>
      </c>
      <c r="L85" s="1">
        <v>0.17</v>
      </c>
      <c r="M85" s="9">
        <f>fact_anuncios[[#This Row],[preco_sugerido]]*fact_anuncios[[#This Row],[perc_comissao]]</f>
        <v>10.695462283918285</v>
      </c>
      <c r="N85" s="9">
        <v>14.15</v>
      </c>
      <c r="O85" s="4">
        <v>0.08</v>
      </c>
      <c r="P85" s="9">
        <f>fact_anuncios[[#This Row],[valor_tipo]]+fact_anuncios[[#This Row],[frete]]</f>
        <v>24.845462283918287</v>
      </c>
      <c r="Q85" s="9">
        <f>(fact_anuncios[[#This Row],[valor_tipo]]+fact_anuncios[[#This Row],[frete]])*(1+fact_anuncios[[#This Row],[markup_promo]])</f>
        <v>26.833099266631752</v>
      </c>
      <c r="R85" s="9">
        <f>((fact_anuncios[[#This Row],[valor_min_produto]] / (1-fact_anuncios[[#This Row],[markup_promo]])) +fact_anuncios[[#This Row],[frete]]) / (1 - fact_anuncios[[#This Row],[perc_comissao]])</f>
        <v>62.914484023048729</v>
      </c>
      <c r="S85" s="9">
        <f>(fact_anuncios[[#This Row],[valor_min_produto]] + fact_anuncios[[#This Row],[frete]]) / (1 - fact_anuncios[[#This Row],[perc_comissao]])</f>
        <v>59.245180722891575</v>
      </c>
      <c r="T85" s="9">
        <f>fact_anuncios[[#This Row],[atacado_1]] * 1.0254</f>
        <v>60.750008313253026</v>
      </c>
      <c r="U85" s="1" t="s">
        <v>4</v>
      </c>
    </row>
    <row r="86" spans="1:21" x14ac:dyDescent="0.3">
      <c r="A86" s="1">
        <v>1047</v>
      </c>
      <c r="B86" s="2" t="s">
        <v>212</v>
      </c>
      <c r="C86" s="2" t="s">
        <v>364</v>
      </c>
      <c r="D86" s="6" t="s">
        <v>494</v>
      </c>
      <c r="E86" s="1">
        <v>100</v>
      </c>
      <c r="F86" s="8">
        <v>3.8915000000000002</v>
      </c>
      <c r="G86" s="8">
        <f>fact_anuncios[[#This Row],[preco_unit]]*(1-fact_anuncios[[#This Row],[perc_desconto_min]])</f>
        <v>3.5023500000000003</v>
      </c>
      <c r="H86" s="8">
        <f>fact_anuncios[[#This Row],[preco_unit]]*fact_anuncios[[#This Row],[quantidade_anuncio]]</f>
        <v>389.15000000000003</v>
      </c>
      <c r="I86" s="1">
        <v>0.1</v>
      </c>
      <c r="J86" s="8">
        <f>fact_anuncios[[#This Row],[preco_min_unit]]*fact_anuncios[[#This Row],[quantidade_anuncio]]</f>
        <v>350.23500000000001</v>
      </c>
      <c r="K86" s="1" t="s">
        <v>18</v>
      </c>
      <c r="L86" s="1">
        <v>0.14000000000000001</v>
      </c>
      <c r="M86" s="9">
        <f>fact_anuncios[[#This Row],[preco_sugerido]]*fact_anuncios[[#This Row],[perc_comissao]]</f>
        <v>65.822826086956525</v>
      </c>
      <c r="N86" s="9">
        <v>23.65</v>
      </c>
      <c r="O86" s="4">
        <v>0.08</v>
      </c>
      <c r="P86" s="9">
        <f>fact_anuncios[[#This Row],[valor_tipo]]+fact_anuncios[[#This Row],[frete]]</f>
        <v>89.47282608695653</v>
      </c>
      <c r="Q86" s="9">
        <f>(fact_anuncios[[#This Row],[valor_tipo]]+fact_anuncios[[#This Row],[frete]])*(1+fact_anuncios[[#This Row],[markup_promo]])</f>
        <v>96.630652173913063</v>
      </c>
      <c r="R86" s="9">
        <f>((fact_anuncios[[#This Row],[valor_min_produto]] / (1-fact_anuncios[[#This Row],[markup_promo]])) +fact_anuncios[[#This Row],[frete]]) / (1 - fact_anuncios[[#This Row],[perc_comissao]])</f>
        <v>470.16304347826087</v>
      </c>
      <c r="S86" s="9">
        <f>(fact_anuncios[[#This Row],[valor_min_produto]] + fact_anuncios[[#This Row],[frete]]) / (1 - fact_anuncios[[#This Row],[perc_comissao]])</f>
        <v>434.75</v>
      </c>
      <c r="T86" s="9">
        <f>fact_anuncios[[#This Row],[atacado_1]] * 1.0254</f>
        <v>445.79265000000004</v>
      </c>
      <c r="U86" s="1" t="s">
        <v>4</v>
      </c>
    </row>
    <row r="87" spans="1:21" x14ac:dyDescent="0.3">
      <c r="A87" s="1">
        <v>1047</v>
      </c>
      <c r="B87" s="2" t="s">
        <v>213</v>
      </c>
      <c r="C87" s="2" t="s">
        <v>365</v>
      </c>
      <c r="D87" s="6" t="s">
        <v>494</v>
      </c>
      <c r="E87" s="1">
        <v>25</v>
      </c>
      <c r="F87" s="8">
        <v>3.8915000000000002</v>
      </c>
      <c r="G87" s="8">
        <f>fact_anuncios[[#This Row],[preco_unit]]*(1-fact_anuncios[[#This Row],[perc_desconto_min]])</f>
        <v>3.5023500000000003</v>
      </c>
      <c r="H87" s="8">
        <f>fact_anuncios[[#This Row],[preco_unit]]*fact_anuncios[[#This Row],[quantidade_anuncio]]</f>
        <v>97.287500000000009</v>
      </c>
      <c r="I87" s="1">
        <v>0.1</v>
      </c>
      <c r="J87" s="8">
        <f>fact_anuncios[[#This Row],[preco_min_unit]]*fact_anuncios[[#This Row],[quantidade_anuncio]]</f>
        <v>87.558750000000003</v>
      </c>
      <c r="K87" s="1" t="s">
        <v>18</v>
      </c>
      <c r="L87" s="1">
        <v>0.17</v>
      </c>
      <c r="M87" s="9">
        <f>fact_anuncios[[#This Row],[preco_sugerido]]*fact_anuncios[[#This Row],[perc_comissao]]</f>
        <v>23.272089444735467</v>
      </c>
      <c r="N87" s="9">
        <v>18.45</v>
      </c>
      <c r="O87" s="4">
        <v>0.08</v>
      </c>
      <c r="P87" s="9">
        <f>fact_anuncios[[#This Row],[valor_tipo]]+fact_anuncios[[#This Row],[frete]]</f>
        <v>41.722089444735467</v>
      </c>
      <c r="Q87" s="9">
        <f>(fact_anuncios[[#This Row],[valor_tipo]]+fact_anuncios[[#This Row],[frete]])*(1+fact_anuncios[[#This Row],[markup_promo]])</f>
        <v>45.059856600314305</v>
      </c>
      <c r="R87" s="9">
        <f>((fact_anuncios[[#This Row],[valor_min_produto]] / (1-fact_anuncios[[#This Row],[markup_promo]])) +fact_anuncios[[#This Row],[frete]]) / (1 - fact_anuncios[[#This Row],[perc_comissao]])</f>
        <v>136.89464379256157</v>
      </c>
      <c r="S87" s="9">
        <f>(fact_anuncios[[#This Row],[valor_min_produto]] + fact_anuncios[[#This Row],[frete]]) / (1 - fact_anuncios[[#This Row],[perc_comissao]])</f>
        <v>127.72138554216869</v>
      </c>
      <c r="T87" s="9">
        <f>fact_anuncios[[#This Row],[atacado_1]] * 1.0254</f>
        <v>130.96550873493979</v>
      </c>
      <c r="U87" s="1" t="s">
        <v>4</v>
      </c>
    </row>
    <row r="88" spans="1:21" x14ac:dyDescent="0.3">
      <c r="A88" s="1">
        <v>1047</v>
      </c>
      <c r="B88" s="2" t="s">
        <v>214</v>
      </c>
      <c r="C88" s="2" t="s">
        <v>366</v>
      </c>
      <c r="D88" s="6" t="s">
        <v>494</v>
      </c>
      <c r="E88" s="1">
        <v>15</v>
      </c>
      <c r="F88" s="8">
        <v>3.8915000000000002</v>
      </c>
      <c r="G88" s="8">
        <f>fact_anuncios[[#This Row],[preco_unit]]*(1-fact_anuncios[[#This Row],[perc_desconto_min]])</f>
        <v>3.5023500000000003</v>
      </c>
      <c r="H88" s="8">
        <f>fact_anuncios[[#This Row],[preco_unit]]*fact_anuncios[[#This Row],[quantidade_anuncio]]</f>
        <v>58.372500000000002</v>
      </c>
      <c r="I88" s="1">
        <v>0.1</v>
      </c>
      <c r="J88" s="8">
        <f>fact_anuncios[[#This Row],[preco_min_unit]]*fact_anuncios[[#This Row],[quantidade_anuncio]]</f>
        <v>52.535250000000005</v>
      </c>
      <c r="K88" s="1" t="s">
        <v>18</v>
      </c>
      <c r="L88" s="1">
        <v>0.17</v>
      </c>
      <c r="M88" s="9">
        <f>fact_anuncios[[#This Row],[preco_sugerido]]*fact_anuncios[[#This Row],[perc_comissao]]</f>
        <v>14.225422341540076</v>
      </c>
      <c r="N88" s="9">
        <v>12.35</v>
      </c>
      <c r="O88" s="4">
        <v>0.08</v>
      </c>
      <c r="P88" s="9">
        <f>fact_anuncios[[#This Row],[valor_tipo]]+fact_anuncios[[#This Row],[frete]]</f>
        <v>26.575422341540076</v>
      </c>
      <c r="Q88" s="9">
        <f>(fact_anuncios[[#This Row],[valor_tipo]]+fact_anuncios[[#This Row],[frete]])*(1+fact_anuncios[[#This Row],[markup_promo]])</f>
        <v>28.701456128863285</v>
      </c>
      <c r="R88" s="9">
        <f>((fact_anuncios[[#This Row],[valor_min_produto]] / (1-fact_anuncios[[#This Row],[markup_promo]])) +fact_anuncios[[#This Row],[frete]]) / (1 - fact_anuncios[[#This Row],[perc_comissao]])</f>
        <v>83.678954950235735</v>
      </c>
      <c r="S88" s="9">
        <f>(fact_anuncios[[#This Row],[valor_min_produto]] + fact_anuncios[[#This Row],[frete]]) / (1 - fact_anuncios[[#This Row],[perc_comissao]])</f>
        <v>78.174999999999997</v>
      </c>
      <c r="T88" s="9">
        <f>fact_anuncios[[#This Row],[atacado_1]] * 1.0254</f>
        <v>80.160645000000002</v>
      </c>
      <c r="U88" s="1" t="s">
        <v>4</v>
      </c>
    </row>
    <row r="89" spans="1:21" x14ac:dyDescent="0.3">
      <c r="A89" s="1">
        <v>1047</v>
      </c>
      <c r="B89" s="2" t="s">
        <v>215</v>
      </c>
      <c r="C89" s="2" t="s">
        <v>367</v>
      </c>
      <c r="D89" s="6" t="s">
        <v>494</v>
      </c>
      <c r="E89" s="1">
        <v>500</v>
      </c>
      <c r="F89" s="8">
        <v>3.8915000000000002</v>
      </c>
      <c r="G89" s="8">
        <f>fact_anuncios[[#This Row],[preco_unit]]*(1-fact_anuncios[[#This Row],[perc_desconto_min]])</f>
        <v>3.5023500000000003</v>
      </c>
      <c r="H89" s="8">
        <f>fact_anuncios[[#This Row],[preco_unit]]*fact_anuncios[[#This Row],[quantidade_anuncio]]</f>
        <v>1945.75</v>
      </c>
      <c r="I89" s="1">
        <v>0.1</v>
      </c>
      <c r="J89" s="8">
        <f>fact_anuncios[[#This Row],[preco_min_unit]]*fact_anuncios[[#This Row],[quantidade_anuncio]]</f>
        <v>1751.1750000000002</v>
      </c>
      <c r="K89" s="1" t="s">
        <v>18</v>
      </c>
      <c r="L89" s="1">
        <v>0.17</v>
      </c>
      <c r="M89" s="9">
        <f>fact_anuncios[[#This Row],[preco_sugerido]]*fact_anuncios[[#This Row],[perc_comissao]]</f>
        <v>394.7074515453117</v>
      </c>
      <c r="N89" s="9">
        <v>23.65</v>
      </c>
      <c r="O89" s="4">
        <v>0.08</v>
      </c>
      <c r="P89" s="9">
        <f>fact_anuncios[[#This Row],[valor_tipo]]+fact_anuncios[[#This Row],[frete]]</f>
        <v>418.35745154531168</v>
      </c>
      <c r="Q89" s="9">
        <f>(fact_anuncios[[#This Row],[valor_tipo]]+fact_anuncios[[#This Row],[frete]])*(1+fact_anuncios[[#This Row],[markup_promo]])</f>
        <v>451.82604766893667</v>
      </c>
      <c r="R89" s="9">
        <f>((fact_anuncios[[#This Row],[valor_min_produto]] / (1-fact_anuncios[[#This Row],[markup_promo]])) +fact_anuncios[[#This Row],[frete]]) / (1 - fact_anuncios[[#This Row],[perc_comissao]])</f>
        <v>2321.8085385018335</v>
      </c>
      <c r="S89" s="9">
        <f>(fact_anuncios[[#This Row],[valor_min_produto]] + fact_anuncios[[#This Row],[frete]]) / (1 - fact_anuncios[[#This Row],[perc_comissao]])</f>
        <v>2138.3433734939763</v>
      </c>
      <c r="T89" s="9">
        <f>fact_anuncios[[#This Row],[atacado_1]] * 1.0254</f>
        <v>2192.6572951807234</v>
      </c>
      <c r="U89" s="1" t="s">
        <v>4</v>
      </c>
    </row>
    <row r="90" spans="1:21" x14ac:dyDescent="0.3">
      <c r="A90" s="1">
        <v>1047</v>
      </c>
      <c r="B90" s="2" t="s">
        <v>216</v>
      </c>
      <c r="C90" s="2" t="s">
        <v>368</v>
      </c>
      <c r="D90" s="6" t="s">
        <v>494</v>
      </c>
      <c r="E90" s="1">
        <v>200</v>
      </c>
      <c r="F90" s="8">
        <v>3.8915000000000002</v>
      </c>
      <c r="G90" s="8">
        <f>fact_anuncios[[#This Row],[preco_unit]]*(1-fact_anuncios[[#This Row],[perc_desconto_min]])</f>
        <v>3.5023500000000003</v>
      </c>
      <c r="H90" s="8">
        <f>fact_anuncios[[#This Row],[preco_unit]]*fact_anuncios[[#This Row],[quantidade_anuncio]]</f>
        <v>778.30000000000007</v>
      </c>
      <c r="I90" s="1">
        <v>0.1</v>
      </c>
      <c r="J90" s="8">
        <f>fact_anuncios[[#This Row],[preco_min_unit]]*fact_anuncios[[#This Row],[quantidade_anuncio]]</f>
        <v>700.47</v>
      </c>
      <c r="K90" s="1" t="s">
        <v>18</v>
      </c>
      <c r="L90" s="1">
        <v>0.17</v>
      </c>
      <c r="M90" s="9">
        <f>fact_anuncios[[#This Row],[preco_sugerido]]*fact_anuncios[[#This Row],[perc_comissao]]</f>
        <v>164.08695652173918</v>
      </c>
      <c r="N90" s="9">
        <v>39.75</v>
      </c>
      <c r="O90" s="4">
        <v>0.08</v>
      </c>
      <c r="P90" s="9">
        <f>fact_anuncios[[#This Row],[valor_tipo]]+fact_anuncios[[#This Row],[frete]]</f>
        <v>203.83695652173918</v>
      </c>
      <c r="Q90" s="9">
        <f>(fact_anuncios[[#This Row],[valor_tipo]]+fact_anuncios[[#This Row],[frete]])*(1+fact_anuncios[[#This Row],[markup_promo]])</f>
        <v>220.14391304347834</v>
      </c>
      <c r="R90" s="9">
        <f>((fact_anuncios[[#This Row],[valor_min_produto]] / (1-fact_anuncios[[#This Row],[markup_promo]])) +fact_anuncios[[#This Row],[frete]]) / (1 - fact_anuncios[[#This Row],[perc_comissao]])</f>
        <v>965.21739130434798</v>
      </c>
      <c r="S90" s="9">
        <f>(fact_anuncios[[#This Row],[valor_min_produto]] + fact_anuncios[[#This Row],[frete]]) / (1 - fact_anuncios[[#This Row],[perc_comissao]])</f>
        <v>891.83132530120486</v>
      </c>
      <c r="T90" s="9">
        <f>fact_anuncios[[#This Row],[atacado_1]] * 1.0254</f>
        <v>914.48384096385553</v>
      </c>
      <c r="U90" s="1" t="s">
        <v>4</v>
      </c>
    </row>
    <row r="91" spans="1:21" x14ac:dyDescent="0.3">
      <c r="A91" s="1">
        <v>1047</v>
      </c>
      <c r="B91" s="2" t="s">
        <v>217</v>
      </c>
      <c r="C91" s="2" t="s">
        <v>369</v>
      </c>
      <c r="D91" s="6" t="s">
        <v>494</v>
      </c>
      <c r="E91" s="1">
        <v>100</v>
      </c>
      <c r="F91" s="8">
        <v>3.8915000000000002</v>
      </c>
      <c r="G91" s="8">
        <f>fact_anuncios[[#This Row],[preco_unit]]*(1-fact_anuncios[[#This Row],[perc_desconto_min]])</f>
        <v>3.5023500000000003</v>
      </c>
      <c r="H91" s="8">
        <f>fact_anuncios[[#This Row],[preco_unit]]*fact_anuncios[[#This Row],[quantidade_anuncio]]</f>
        <v>389.15000000000003</v>
      </c>
      <c r="I91" s="1">
        <v>0.1</v>
      </c>
      <c r="J91" s="8">
        <f>fact_anuncios[[#This Row],[preco_min_unit]]*fact_anuncios[[#This Row],[quantidade_anuncio]]</f>
        <v>350.23500000000001</v>
      </c>
      <c r="K91" s="1" t="s">
        <v>18</v>
      </c>
      <c r="L91" s="1">
        <v>0.14000000000000001</v>
      </c>
      <c r="M91" s="9">
        <f>fact_anuncios[[#This Row],[preco_sugerido]]*fact_anuncios[[#This Row],[perc_comissao]]</f>
        <v>65.822826086956525</v>
      </c>
      <c r="N91" s="9">
        <v>23.65</v>
      </c>
      <c r="O91" s="4">
        <v>0.08</v>
      </c>
      <c r="P91" s="9">
        <f>fact_anuncios[[#This Row],[valor_tipo]]+fact_anuncios[[#This Row],[frete]]</f>
        <v>89.47282608695653</v>
      </c>
      <c r="Q91" s="9">
        <f>(fact_anuncios[[#This Row],[valor_tipo]]+fact_anuncios[[#This Row],[frete]])*(1+fact_anuncios[[#This Row],[markup_promo]])</f>
        <v>96.630652173913063</v>
      </c>
      <c r="R91" s="9">
        <f>((fact_anuncios[[#This Row],[valor_min_produto]] / (1-fact_anuncios[[#This Row],[markup_promo]])) +fact_anuncios[[#This Row],[frete]]) / (1 - fact_anuncios[[#This Row],[perc_comissao]])</f>
        <v>470.16304347826087</v>
      </c>
      <c r="S91" s="9">
        <f>(fact_anuncios[[#This Row],[valor_min_produto]] + fact_anuncios[[#This Row],[frete]]) / (1 - fact_anuncios[[#This Row],[perc_comissao]])</f>
        <v>434.75</v>
      </c>
      <c r="T91" s="9">
        <f>fact_anuncios[[#This Row],[atacado_1]] * 1.0254</f>
        <v>445.79265000000004</v>
      </c>
      <c r="U91" s="1" t="s">
        <v>4</v>
      </c>
    </row>
    <row r="92" spans="1:21" x14ac:dyDescent="0.3">
      <c r="A92" s="1">
        <v>1047</v>
      </c>
      <c r="B92" s="2" t="s">
        <v>218</v>
      </c>
      <c r="C92" s="2" t="s">
        <v>370</v>
      </c>
      <c r="D92" s="6" t="s">
        <v>494</v>
      </c>
      <c r="E92" s="1">
        <v>15</v>
      </c>
      <c r="F92" s="8">
        <v>3.8915000000000002</v>
      </c>
      <c r="G92" s="8">
        <f>fact_anuncios[[#This Row],[preco_unit]]*(1-fact_anuncios[[#This Row],[perc_desconto_min]])</f>
        <v>3.5023500000000003</v>
      </c>
      <c r="H92" s="8">
        <f>fact_anuncios[[#This Row],[preco_unit]]*fact_anuncios[[#This Row],[quantidade_anuncio]]</f>
        <v>58.372500000000002</v>
      </c>
      <c r="I92" s="1">
        <v>0.1</v>
      </c>
      <c r="J92" s="8">
        <f>fact_anuncios[[#This Row],[preco_min_unit]]*fact_anuncios[[#This Row],[quantidade_anuncio]]</f>
        <v>52.535250000000005</v>
      </c>
      <c r="K92" s="1" t="s">
        <v>18</v>
      </c>
      <c r="L92" s="1">
        <v>0.17</v>
      </c>
      <c r="M92" s="9">
        <f>fact_anuncios[[#This Row],[preco_sugerido]]*fact_anuncios[[#This Row],[perc_comissao]]</f>
        <v>14.225422341540076</v>
      </c>
      <c r="N92" s="9">
        <v>12.35</v>
      </c>
      <c r="O92" s="4">
        <v>0.08</v>
      </c>
      <c r="P92" s="9">
        <f>fact_anuncios[[#This Row],[valor_tipo]]+fact_anuncios[[#This Row],[frete]]</f>
        <v>26.575422341540076</v>
      </c>
      <c r="Q92" s="9">
        <f>(fact_anuncios[[#This Row],[valor_tipo]]+fact_anuncios[[#This Row],[frete]])*(1+fact_anuncios[[#This Row],[markup_promo]])</f>
        <v>28.701456128863285</v>
      </c>
      <c r="R92" s="9">
        <f>((fact_anuncios[[#This Row],[valor_min_produto]] / (1-fact_anuncios[[#This Row],[markup_promo]])) +fact_anuncios[[#This Row],[frete]]) / (1 - fact_anuncios[[#This Row],[perc_comissao]])</f>
        <v>83.678954950235735</v>
      </c>
      <c r="S92" s="9">
        <f>(fact_anuncios[[#This Row],[valor_min_produto]] + fact_anuncios[[#This Row],[frete]]) / (1 - fact_anuncios[[#This Row],[perc_comissao]])</f>
        <v>78.174999999999997</v>
      </c>
      <c r="T92" s="9">
        <f>fact_anuncios[[#This Row],[atacado_1]] * 1.0254</f>
        <v>80.160645000000002</v>
      </c>
      <c r="U92" s="1" t="s">
        <v>4</v>
      </c>
    </row>
    <row r="93" spans="1:21" x14ac:dyDescent="0.3">
      <c r="A93" s="1">
        <v>1047</v>
      </c>
      <c r="B93" s="2" t="s">
        <v>219</v>
      </c>
      <c r="C93" s="2" t="s">
        <v>371</v>
      </c>
      <c r="D93" s="6" t="s">
        <v>494</v>
      </c>
      <c r="E93" s="1">
        <v>10</v>
      </c>
      <c r="F93" s="8">
        <v>3.8915000000000002</v>
      </c>
      <c r="G93" s="8">
        <f>fact_anuncios[[#This Row],[preco_unit]]*(1-fact_anuncios[[#This Row],[perc_desconto_min]])</f>
        <v>3.5023500000000003</v>
      </c>
      <c r="H93" s="8">
        <f>fact_anuncios[[#This Row],[preco_unit]]*fact_anuncios[[#This Row],[quantidade_anuncio]]</f>
        <v>38.914999999999999</v>
      </c>
      <c r="I93" s="1">
        <v>0.1</v>
      </c>
      <c r="J93" s="8">
        <f>fact_anuncios[[#This Row],[preco_min_unit]]*fact_anuncios[[#This Row],[quantidade_anuncio]]</f>
        <v>35.023500000000006</v>
      </c>
      <c r="K93" s="1" t="s">
        <v>18</v>
      </c>
      <c r="L93" s="1">
        <v>0.17</v>
      </c>
      <c r="M93" s="9">
        <f>fact_anuncios[[#This Row],[preco_sugerido]]*fact_anuncios[[#This Row],[perc_comissao]]</f>
        <v>10.326787585123105</v>
      </c>
      <c r="N93" s="9">
        <v>12.35</v>
      </c>
      <c r="O93" s="4">
        <v>0.08</v>
      </c>
      <c r="P93" s="9">
        <f>fact_anuncios[[#This Row],[valor_tipo]]+fact_anuncios[[#This Row],[frete]]</f>
        <v>22.676787585123105</v>
      </c>
      <c r="Q93" s="9">
        <f>(fact_anuncios[[#This Row],[valor_tipo]]+fact_anuncios[[#This Row],[frete]])*(1+fact_anuncios[[#This Row],[markup_promo]])</f>
        <v>24.490930591932955</v>
      </c>
      <c r="R93" s="9">
        <f>((fact_anuncios[[#This Row],[valor_min_produto]] / (1-fact_anuncios[[#This Row],[markup_promo]])) +fact_anuncios[[#This Row],[frete]]) / (1 - fact_anuncios[[#This Row],[perc_comissao]])</f>
        <v>60.74580932425355</v>
      </c>
      <c r="S93" s="9">
        <f>(fact_anuncios[[#This Row],[valor_min_produto]] + fact_anuncios[[#This Row],[frete]]) / (1 - fact_anuncios[[#This Row],[perc_comissao]])</f>
        <v>57.076506024096396</v>
      </c>
      <c r="T93" s="9">
        <f>fact_anuncios[[#This Row],[atacado_1]] * 1.0254</f>
        <v>58.526249277108448</v>
      </c>
      <c r="U93" s="1" t="s">
        <v>4</v>
      </c>
    </row>
    <row r="94" spans="1:21" x14ac:dyDescent="0.3">
      <c r="A94" s="1">
        <v>1048</v>
      </c>
      <c r="B94" s="2" t="s">
        <v>149</v>
      </c>
      <c r="C94" s="2" t="s">
        <v>372</v>
      </c>
      <c r="D94" s="6" t="s">
        <v>495</v>
      </c>
      <c r="E94" s="1">
        <v>25</v>
      </c>
      <c r="F94" s="8">
        <v>12.300800000000001</v>
      </c>
      <c r="G94" s="8">
        <f>fact_anuncios[[#This Row],[preco_unit]]*(1-fact_anuncios[[#This Row],[perc_desconto_min]])</f>
        <v>11.68576</v>
      </c>
      <c r="H94" s="8">
        <f>fact_anuncios[[#This Row],[preco_unit]]*fact_anuncios[[#This Row],[quantidade_anuncio]]</f>
        <v>307.52000000000004</v>
      </c>
      <c r="I94" s="1">
        <v>0.05</v>
      </c>
      <c r="J94" s="8">
        <f>fact_anuncios[[#This Row],[preco_min_unit]]*fact_anuncios[[#This Row],[quantidade_anuncio]]</f>
        <v>292.14400000000001</v>
      </c>
      <c r="K94" s="1" t="s">
        <v>19</v>
      </c>
      <c r="L94" s="1">
        <v>0.11</v>
      </c>
      <c r="M94" s="9">
        <f>fact_anuncios[[#This Row],[preco_sugerido]]*fact_anuncios[[#This Row],[perc_comissao]]</f>
        <v>42.170517830972145</v>
      </c>
      <c r="N94" s="9">
        <v>23.65</v>
      </c>
      <c r="O94" s="4">
        <v>0.08</v>
      </c>
      <c r="P94" s="9">
        <f>fact_anuncios[[#This Row],[valor_tipo]]+fact_anuncios[[#This Row],[frete]]</f>
        <v>65.820517830972136</v>
      </c>
      <c r="Q94" s="9">
        <f>(fact_anuncios[[#This Row],[valor_tipo]]+fact_anuncios[[#This Row],[frete]])*(1+fact_anuncios[[#This Row],[markup_promo]])</f>
        <v>71.086159257449907</v>
      </c>
      <c r="R94" s="9">
        <f>((fact_anuncios[[#This Row],[valor_min_produto]] / (1-fact_anuncios[[#This Row],[markup_promo]])) +fact_anuncios[[#This Row],[frete]]) / (1 - fact_anuncios[[#This Row],[perc_comissao]])</f>
        <v>383.3683439179286</v>
      </c>
      <c r="S94" s="9">
        <f>(fact_anuncios[[#This Row],[valor_min_produto]] + fact_anuncios[[#This Row],[frete]]) / (1 - fact_anuncios[[#This Row],[perc_comissao]])</f>
        <v>354.82471910112355</v>
      </c>
      <c r="T94" s="9">
        <f>fact_anuncios[[#This Row],[atacado_1]] * 1.0254</f>
        <v>363.83726696629213</v>
      </c>
      <c r="U94" s="1" t="s">
        <v>4</v>
      </c>
    </row>
    <row r="95" spans="1:21" x14ac:dyDescent="0.3">
      <c r="A95" s="1">
        <v>1048</v>
      </c>
      <c r="B95" s="2" t="s">
        <v>150</v>
      </c>
      <c r="C95" s="2" t="s">
        <v>373</v>
      </c>
      <c r="D95" s="6" t="s">
        <v>495</v>
      </c>
      <c r="E95" s="1">
        <v>100</v>
      </c>
      <c r="F95" s="8">
        <v>12.300800000000001</v>
      </c>
      <c r="G95" s="8">
        <f>fact_anuncios[[#This Row],[preco_unit]]*(1-fact_anuncios[[#This Row],[perc_desconto_min]])</f>
        <v>11.68576</v>
      </c>
      <c r="H95" s="8">
        <f>fact_anuncios[[#This Row],[preco_unit]]*fact_anuncios[[#This Row],[quantidade_anuncio]]</f>
        <v>1230.0800000000002</v>
      </c>
      <c r="I95" s="1">
        <v>0.05</v>
      </c>
      <c r="J95" s="8">
        <f>fact_anuncios[[#This Row],[preco_min_unit]]*fact_anuncios[[#This Row],[quantidade_anuncio]]</f>
        <v>1168.576</v>
      </c>
      <c r="K95" s="1" t="s">
        <v>18</v>
      </c>
      <c r="L95" s="1">
        <v>0.17</v>
      </c>
      <c r="M95" s="9">
        <f>fact_anuncios[[#This Row],[preco_sugerido]]*fact_anuncios[[#This Row],[perc_comissao]]</f>
        <v>265.53617077003668</v>
      </c>
      <c r="N95" s="9">
        <v>26.25</v>
      </c>
      <c r="O95" s="4">
        <v>0.08</v>
      </c>
      <c r="P95" s="9">
        <f>fact_anuncios[[#This Row],[valor_tipo]]+fact_anuncios[[#This Row],[frete]]</f>
        <v>291.78617077003668</v>
      </c>
      <c r="Q95" s="9">
        <f>(fact_anuncios[[#This Row],[valor_tipo]]+fact_anuncios[[#This Row],[frete]])*(1+fact_anuncios[[#This Row],[markup_promo]])</f>
        <v>315.12906443163962</v>
      </c>
      <c r="R95" s="9">
        <f>((fact_anuncios[[#This Row],[valor_min_produto]] / (1-fact_anuncios[[#This Row],[markup_promo]])) +fact_anuncios[[#This Row],[frete]]) / (1 - fact_anuncios[[#This Row],[perc_comissao]])</f>
        <v>1561.9774751178627</v>
      </c>
      <c r="S95" s="9">
        <f>(fact_anuncios[[#This Row],[valor_min_produto]] + fact_anuncios[[#This Row],[frete]]) / (1 - fact_anuncios[[#This Row],[perc_comissao]])</f>
        <v>1439.5493975903617</v>
      </c>
      <c r="T95" s="9">
        <f>fact_anuncios[[#This Row],[atacado_1]] * 1.0254</f>
        <v>1476.1139522891569</v>
      </c>
      <c r="U95" s="1" t="s">
        <v>4</v>
      </c>
    </row>
    <row r="96" spans="1:21" x14ac:dyDescent="0.3">
      <c r="A96" s="1">
        <v>1048</v>
      </c>
      <c r="B96" s="2" t="s">
        <v>151</v>
      </c>
      <c r="C96" s="2" t="s">
        <v>374</v>
      </c>
      <c r="D96" s="6" t="s">
        <v>495</v>
      </c>
      <c r="E96" s="1">
        <v>25</v>
      </c>
      <c r="F96" s="8">
        <v>12.300800000000001</v>
      </c>
      <c r="G96" s="8">
        <f>fact_anuncios[[#This Row],[preco_unit]]*(1-fact_anuncios[[#This Row],[perc_desconto_min]])</f>
        <v>11.68576</v>
      </c>
      <c r="H96" s="8">
        <f>fact_anuncios[[#This Row],[preco_unit]]*fact_anuncios[[#This Row],[quantidade_anuncio]]</f>
        <v>307.52000000000004</v>
      </c>
      <c r="I96" s="1">
        <v>0.05</v>
      </c>
      <c r="J96" s="8">
        <f>fact_anuncios[[#This Row],[preco_min_unit]]*fact_anuncios[[#This Row],[quantidade_anuncio]]</f>
        <v>292.14400000000001</v>
      </c>
      <c r="K96" s="1" t="s">
        <v>18</v>
      </c>
      <c r="L96" s="1">
        <v>0.13</v>
      </c>
      <c r="M96" s="9">
        <f>fact_anuncios[[#This Row],[preco_sugerido]]*fact_anuncios[[#This Row],[perc_comissao]]</f>
        <v>50.983583208395792</v>
      </c>
      <c r="N96" s="9">
        <v>23.65</v>
      </c>
      <c r="O96" s="4">
        <v>0.08</v>
      </c>
      <c r="P96" s="9">
        <f>fact_anuncios[[#This Row],[valor_tipo]]+fact_anuncios[[#This Row],[frete]]</f>
        <v>74.633583208395791</v>
      </c>
      <c r="Q96" s="9">
        <f>(fact_anuncios[[#This Row],[valor_tipo]]+fact_anuncios[[#This Row],[frete]])*(1+fact_anuncios[[#This Row],[markup_promo]])</f>
        <v>80.604269865067465</v>
      </c>
      <c r="R96" s="9">
        <f>((fact_anuncios[[#This Row],[valor_min_produto]] / (1-fact_anuncios[[#This Row],[markup_promo]])) +fact_anuncios[[#This Row],[frete]]) / (1 - fact_anuncios[[#This Row],[perc_comissao]])</f>
        <v>392.18140929535224</v>
      </c>
      <c r="S96" s="9">
        <f>(fact_anuncios[[#This Row],[valor_min_produto]] + fact_anuncios[[#This Row],[frete]]) / (1 - fact_anuncios[[#This Row],[perc_comissao]])</f>
        <v>362.98160919540226</v>
      </c>
      <c r="T96" s="9">
        <f>fact_anuncios[[#This Row],[atacado_1]] * 1.0254</f>
        <v>372.20134206896552</v>
      </c>
      <c r="U96" s="1" t="s">
        <v>4</v>
      </c>
    </row>
    <row r="97" spans="1:21" x14ac:dyDescent="0.3">
      <c r="A97" s="1">
        <v>1048</v>
      </c>
      <c r="B97" s="2" t="s">
        <v>152</v>
      </c>
      <c r="C97" s="2" t="s">
        <v>375</v>
      </c>
      <c r="D97" s="6" t="s">
        <v>495</v>
      </c>
      <c r="E97" s="1">
        <v>10</v>
      </c>
      <c r="F97" s="8">
        <v>12.300800000000001</v>
      </c>
      <c r="G97" s="8">
        <f>fact_anuncios[[#This Row],[preco_unit]]*(1-fact_anuncios[[#This Row],[perc_desconto_min]])</f>
        <v>11.68576</v>
      </c>
      <c r="H97" s="8">
        <f>fact_anuncios[[#This Row],[preco_unit]]*fact_anuncios[[#This Row],[quantidade_anuncio]]</f>
        <v>123.00800000000001</v>
      </c>
      <c r="I97" s="1">
        <v>0.05</v>
      </c>
      <c r="J97" s="8">
        <f>fact_anuncios[[#This Row],[preco_min_unit]]*fact_anuncios[[#This Row],[quantidade_anuncio]]</f>
        <v>116.85760000000001</v>
      </c>
      <c r="K97" s="1" t="s">
        <v>18</v>
      </c>
      <c r="L97" s="1">
        <v>0.17</v>
      </c>
      <c r="M97" s="9">
        <f>fact_anuncios[[#This Row],[preco_sugerido]]*fact_anuncios[[#This Row],[perc_comissao]]</f>
        <v>30.265966474594027</v>
      </c>
      <c r="N97" s="9">
        <v>20.75</v>
      </c>
      <c r="O97" s="4">
        <v>0.08</v>
      </c>
      <c r="P97" s="9">
        <f>fact_anuncios[[#This Row],[valor_tipo]]+fact_anuncios[[#This Row],[frete]]</f>
        <v>51.015966474594023</v>
      </c>
      <c r="Q97" s="9">
        <f>(fact_anuncios[[#This Row],[valor_tipo]]+fact_anuncios[[#This Row],[frete]])*(1+fact_anuncios[[#This Row],[markup_promo]])</f>
        <v>55.097243792561549</v>
      </c>
      <c r="R97" s="9">
        <f>((fact_anuncios[[#This Row],[valor_min_produto]] / (1-fact_anuncios[[#This Row],[markup_promo]])) +fact_anuncios[[#This Row],[frete]]) / (1 - fact_anuncios[[#This Row],[perc_comissao]])</f>
        <v>178.03509690937662</v>
      </c>
      <c r="S97" s="9">
        <f>(fact_anuncios[[#This Row],[valor_min_produto]] + fact_anuncios[[#This Row],[frete]]) / (1 - fact_anuncios[[#This Row],[perc_comissao]])</f>
        <v>165.79228915662651</v>
      </c>
      <c r="T97" s="9">
        <f>fact_anuncios[[#This Row],[atacado_1]] * 1.0254</f>
        <v>170.00341330120483</v>
      </c>
      <c r="U97" s="1" t="s">
        <v>4</v>
      </c>
    </row>
    <row r="98" spans="1:21" x14ac:dyDescent="0.3">
      <c r="A98" s="1">
        <v>1048</v>
      </c>
      <c r="B98" s="2" t="s">
        <v>153</v>
      </c>
      <c r="C98" s="2" t="s">
        <v>376</v>
      </c>
      <c r="D98" s="6" t="s">
        <v>495</v>
      </c>
      <c r="E98" s="1">
        <v>10</v>
      </c>
      <c r="F98" s="8">
        <v>12.300800000000001</v>
      </c>
      <c r="G98" s="8">
        <f>fact_anuncios[[#This Row],[preco_unit]]*(1-fact_anuncios[[#This Row],[perc_desconto_min]])</f>
        <v>11.68576</v>
      </c>
      <c r="H98" s="8">
        <f>fact_anuncios[[#This Row],[preco_unit]]*fact_anuncios[[#This Row],[quantidade_anuncio]]</f>
        <v>123.00800000000001</v>
      </c>
      <c r="I98" s="1">
        <v>0.05</v>
      </c>
      <c r="J98" s="8">
        <f>fact_anuncios[[#This Row],[preco_min_unit]]*fact_anuncios[[#This Row],[quantidade_anuncio]]</f>
        <v>116.85760000000001</v>
      </c>
      <c r="K98" s="1" t="s">
        <v>18</v>
      </c>
      <c r="L98" s="1">
        <v>0.14000000000000001</v>
      </c>
      <c r="M98" s="9">
        <f>fact_anuncios[[#This Row],[preco_sugerido]]*fact_anuncios[[#This Row],[perc_comissao]]</f>
        <v>24.055439838220426</v>
      </c>
      <c r="N98" s="9">
        <v>20.75</v>
      </c>
      <c r="O98" s="4">
        <v>0.08</v>
      </c>
      <c r="P98" s="9">
        <f>fact_anuncios[[#This Row],[valor_tipo]]+fact_anuncios[[#This Row],[frete]]</f>
        <v>44.805439838220423</v>
      </c>
      <c r="Q98" s="9">
        <f>(fact_anuncios[[#This Row],[valor_tipo]]+fact_anuncios[[#This Row],[frete]])*(1+fact_anuncios[[#This Row],[markup_promo]])</f>
        <v>48.389875025278059</v>
      </c>
      <c r="R98" s="9">
        <f>((fact_anuncios[[#This Row],[valor_min_produto]] / (1-fact_anuncios[[#This Row],[markup_promo]])) +fact_anuncios[[#This Row],[frete]]) / (1 - fact_anuncios[[#This Row],[perc_comissao]])</f>
        <v>171.82457027300302</v>
      </c>
      <c r="S98" s="9">
        <f>(fact_anuncios[[#This Row],[valor_min_produto]] + fact_anuncios[[#This Row],[frete]]) / (1 - fact_anuncios[[#This Row],[perc_comissao]])</f>
        <v>160.00883720930233</v>
      </c>
      <c r="T98" s="9">
        <f>fact_anuncios[[#This Row],[atacado_1]] * 1.0254</f>
        <v>164.07306167441862</v>
      </c>
      <c r="U98" s="1" t="s">
        <v>4</v>
      </c>
    </row>
    <row r="99" spans="1:21" x14ac:dyDescent="0.3">
      <c r="A99" s="1">
        <v>1049</v>
      </c>
      <c r="B99" s="2" t="s">
        <v>176</v>
      </c>
      <c r="C99" s="2" t="s">
        <v>377</v>
      </c>
      <c r="D99" s="6" t="s">
        <v>496</v>
      </c>
      <c r="E99" s="1">
        <v>10</v>
      </c>
      <c r="F99" s="8">
        <v>8.1964000000000006</v>
      </c>
      <c r="G99" s="8">
        <f>fact_anuncios[[#This Row],[preco_unit]]*(1-fact_anuncios[[#This Row],[perc_desconto_min]])</f>
        <v>7.458724000000001</v>
      </c>
      <c r="H99" s="8">
        <f>fact_anuncios[[#This Row],[preco_unit]]*fact_anuncios[[#This Row],[quantidade_anuncio]]</f>
        <v>81.963999999999999</v>
      </c>
      <c r="I99" s="1">
        <v>0.09</v>
      </c>
      <c r="J99" s="8">
        <f>fact_anuncios[[#This Row],[preco_min_unit]]*fact_anuncios[[#This Row],[quantidade_anuncio]]</f>
        <v>74.587240000000008</v>
      </c>
      <c r="K99" s="1" t="s">
        <v>19</v>
      </c>
      <c r="L99" s="1">
        <v>0.12</v>
      </c>
      <c r="M99" s="9">
        <f>fact_anuncios[[#This Row],[preco_sugerido]]*fact_anuncios[[#This Row],[perc_comissao]]</f>
        <v>13.571330039525693</v>
      </c>
      <c r="N99" s="9">
        <v>18.45</v>
      </c>
      <c r="O99" s="4">
        <v>0.08</v>
      </c>
      <c r="P99" s="9">
        <f>fact_anuncios[[#This Row],[valor_tipo]]+fact_anuncios[[#This Row],[frete]]</f>
        <v>32.021330039525694</v>
      </c>
      <c r="Q99" s="9">
        <f>(fact_anuncios[[#This Row],[valor_tipo]]+fact_anuncios[[#This Row],[frete]])*(1+fact_anuncios[[#This Row],[markup_promo]])</f>
        <v>34.583036442687749</v>
      </c>
      <c r="R99" s="9">
        <f>((fact_anuncios[[#This Row],[valor_min_produto]] / (1-fact_anuncios[[#This Row],[markup_promo]])) +fact_anuncios[[#This Row],[frete]]) / (1 - fact_anuncios[[#This Row],[perc_comissao]])</f>
        <v>113.09441699604744</v>
      </c>
      <c r="S99" s="9">
        <f>(fact_anuncios[[#This Row],[valor_min_produto]] + fact_anuncios[[#This Row],[frete]]) / (1 - fact_anuncios[[#This Row],[perc_comissao]])</f>
        <v>105.72413636363638</v>
      </c>
      <c r="T99" s="9">
        <f>fact_anuncios[[#This Row],[atacado_1]] * 1.0254</f>
        <v>108.40952942727274</v>
      </c>
      <c r="U99" s="1" t="s">
        <v>4</v>
      </c>
    </row>
    <row r="100" spans="1:21" x14ac:dyDescent="0.3">
      <c r="A100" s="1">
        <v>1049</v>
      </c>
      <c r="B100" s="2" t="s">
        <v>177</v>
      </c>
      <c r="C100" s="2" t="s">
        <v>378</v>
      </c>
      <c r="D100" s="6" t="s">
        <v>496</v>
      </c>
      <c r="E100" s="1">
        <v>10</v>
      </c>
      <c r="F100" s="8">
        <v>8.1964000000000006</v>
      </c>
      <c r="G100" s="8">
        <f>fact_anuncios[[#This Row],[preco_unit]]*(1-fact_anuncios[[#This Row],[perc_desconto_min]])</f>
        <v>7.458724000000001</v>
      </c>
      <c r="H100" s="8">
        <f>fact_anuncios[[#This Row],[preco_unit]]*fact_anuncios[[#This Row],[quantidade_anuncio]]</f>
        <v>81.963999999999999</v>
      </c>
      <c r="I100" s="1">
        <v>0.09</v>
      </c>
      <c r="J100" s="8">
        <f>fact_anuncios[[#This Row],[preco_min_unit]]*fact_anuncios[[#This Row],[quantidade_anuncio]]</f>
        <v>74.587240000000008</v>
      </c>
      <c r="K100" s="1" t="s">
        <v>19</v>
      </c>
      <c r="L100" s="1">
        <v>0.12</v>
      </c>
      <c r="M100" s="9">
        <f>fact_anuncios[[#This Row],[preco_sugerido]]*fact_anuncios[[#This Row],[perc_comissao]]</f>
        <v>13.571330039525693</v>
      </c>
      <c r="N100" s="9">
        <v>18.45</v>
      </c>
      <c r="O100" s="4">
        <v>0.08</v>
      </c>
      <c r="P100" s="9">
        <f>fact_anuncios[[#This Row],[valor_tipo]]+fact_anuncios[[#This Row],[frete]]</f>
        <v>32.021330039525694</v>
      </c>
      <c r="Q100" s="9">
        <f>(fact_anuncios[[#This Row],[valor_tipo]]+fact_anuncios[[#This Row],[frete]])*(1+fact_anuncios[[#This Row],[markup_promo]])</f>
        <v>34.583036442687749</v>
      </c>
      <c r="R100" s="9">
        <f>((fact_anuncios[[#This Row],[valor_min_produto]] / (1-fact_anuncios[[#This Row],[markup_promo]])) +fact_anuncios[[#This Row],[frete]]) / (1 - fact_anuncios[[#This Row],[perc_comissao]])</f>
        <v>113.09441699604744</v>
      </c>
      <c r="S100" s="9">
        <f>(fact_anuncios[[#This Row],[valor_min_produto]] + fact_anuncios[[#This Row],[frete]]) / (1 - fact_anuncios[[#This Row],[perc_comissao]])</f>
        <v>105.72413636363638</v>
      </c>
      <c r="T100" s="9">
        <f>fact_anuncios[[#This Row],[atacado_1]] * 1.0254</f>
        <v>108.40952942727274</v>
      </c>
      <c r="U100" s="1" t="s">
        <v>4</v>
      </c>
    </row>
    <row r="101" spans="1:21" x14ac:dyDescent="0.3">
      <c r="A101" s="1">
        <v>1049</v>
      </c>
      <c r="B101" s="2" t="s">
        <v>178</v>
      </c>
      <c r="C101" s="2" t="s">
        <v>379</v>
      </c>
      <c r="D101" s="6" t="s">
        <v>496</v>
      </c>
      <c r="E101" s="1">
        <v>10</v>
      </c>
      <c r="F101" s="8">
        <v>8.1964000000000006</v>
      </c>
      <c r="G101" s="8">
        <f>fact_anuncios[[#This Row],[preco_unit]]*(1-fact_anuncios[[#This Row],[perc_desconto_min]])</f>
        <v>7.458724000000001</v>
      </c>
      <c r="H101" s="8">
        <f>fact_anuncios[[#This Row],[preco_unit]]*fact_anuncios[[#This Row],[quantidade_anuncio]]</f>
        <v>81.963999999999999</v>
      </c>
      <c r="I101" s="1">
        <v>0.09</v>
      </c>
      <c r="J101" s="8">
        <f>fact_anuncios[[#This Row],[preco_min_unit]]*fact_anuncios[[#This Row],[quantidade_anuncio]]</f>
        <v>74.587240000000008</v>
      </c>
      <c r="K101" s="1" t="s">
        <v>18</v>
      </c>
      <c r="L101" s="1">
        <v>0.17</v>
      </c>
      <c r="M101" s="9">
        <f>fact_anuncios[[#This Row],[preco_sugerido]]*fact_anuncios[[#This Row],[perc_comissao]]</f>
        <v>20.384246726034576</v>
      </c>
      <c r="N101" s="9">
        <v>18.45</v>
      </c>
      <c r="O101" s="4">
        <v>0.08</v>
      </c>
      <c r="P101" s="9">
        <f>fact_anuncios[[#This Row],[valor_tipo]]+fact_anuncios[[#This Row],[frete]]</f>
        <v>38.834246726034579</v>
      </c>
      <c r="Q101" s="9">
        <f>(fact_anuncios[[#This Row],[valor_tipo]]+fact_anuncios[[#This Row],[frete]])*(1+fact_anuncios[[#This Row],[markup_promo]])</f>
        <v>41.940986464117344</v>
      </c>
      <c r="R101" s="9">
        <f>((fact_anuncios[[#This Row],[valor_min_produto]] / (1-fact_anuncios[[#This Row],[markup_promo]])) +fact_anuncios[[#This Row],[frete]]) / (1 - fact_anuncios[[#This Row],[perc_comissao]])</f>
        <v>119.90733368255633</v>
      </c>
      <c r="S101" s="9">
        <f>(fact_anuncios[[#This Row],[valor_min_produto]] + fact_anuncios[[#This Row],[frete]]) / (1 - fact_anuncios[[#This Row],[perc_comissao]])</f>
        <v>112.09306024096388</v>
      </c>
      <c r="T101" s="9">
        <f>fact_anuncios[[#This Row],[atacado_1]] * 1.0254</f>
        <v>114.94022397108438</v>
      </c>
      <c r="U101" s="1" t="s">
        <v>4</v>
      </c>
    </row>
    <row r="102" spans="1:21" x14ac:dyDescent="0.3">
      <c r="A102" s="1">
        <v>1050</v>
      </c>
      <c r="B102" s="2" t="s">
        <v>205</v>
      </c>
      <c r="C102" s="2" t="s">
        <v>458</v>
      </c>
      <c r="D102" s="6" t="s">
        <v>497</v>
      </c>
      <c r="E102" s="1">
        <v>1</v>
      </c>
      <c r="F102" s="8">
        <v>681.88660000000004</v>
      </c>
      <c r="G102" s="8">
        <f>fact_anuncios[[#This Row],[preco_unit]]*(1-fact_anuncios[[#This Row],[perc_desconto_min]])</f>
        <v>620.51680600000009</v>
      </c>
      <c r="H102" s="8">
        <f>fact_anuncios[[#This Row],[preco_unit]]*fact_anuncios[[#This Row],[quantidade_anuncio]]</f>
        <v>681.88660000000004</v>
      </c>
      <c r="I102" s="1">
        <v>0.09</v>
      </c>
      <c r="J102" s="8">
        <f>fact_anuncios[[#This Row],[preco_min_unit]]*fact_anuncios[[#This Row],[quantidade_anuncio]]</f>
        <v>620.51680600000009</v>
      </c>
      <c r="K102" s="1" t="s">
        <v>18</v>
      </c>
      <c r="L102" s="1">
        <v>0.17</v>
      </c>
      <c r="M102" s="9">
        <f>fact_anuncios[[#This Row],[preco_sugerido]]*fact_anuncios[[#This Row],[perc_comissao]]</f>
        <v>144.44363150864331</v>
      </c>
      <c r="N102" s="9">
        <v>30.75</v>
      </c>
      <c r="O102" s="4">
        <v>0.08</v>
      </c>
      <c r="P102" s="9">
        <f>fact_anuncios[[#This Row],[valor_tipo]]+fact_anuncios[[#This Row],[frete]]</f>
        <v>175.19363150864331</v>
      </c>
      <c r="Q102" s="9">
        <f>(fact_anuncios[[#This Row],[valor_tipo]]+fact_anuncios[[#This Row],[frete]])*(1+fact_anuncios[[#This Row],[markup_promo]])</f>
        <v>189.20912202933479</v>
      </c>
      <c r="R102" s="9">
        <f>((fact_anuncios[[#This Row],[valor_min_produto]] / (1-fact_anuncios[[#This Row],[markup_promo]])) +fact_anuncios[[#This Row],[frete]]) / (1 - fact_anuncios[[#This Row],[perc_comissao]])</f>
        <v>849.66842063907814</v>
      </c>
      <c r="S102" s="9">
        <f>(fact_anuncios[[#This Row],[valor_min_produto]] + fact_anuncios[[#This Row],[frete]]) / (1 - fact_anuncios[[#This Row],[perc_comissao]])</f>
        <v>784.65880240963872</v>
      </c>
      <c r="T102" s="9">
        <f>fact_anuncios[[#This Row],[atacado_1]] * 1.0254</f>
        <v>804.5891359908436</v>
      </c>
      <c r="U102" s="1" t="s">
        <v>21</v>
      </c>
    </row>
    <row r="103" spans="1:21" x14ac:dyDescent="0.3">
      <c r="A103" s="1">
        <v>1051</v>
      </c>
      <c r="B103" s="2" t="s">
        <v>226</v>
      </c>
      <c r="C103" s="2" t="s">
        <v>459</v>
      </c>
      <c r="D103" s="6" t="s">
        <v>529</v>
      </c>
      <c r="E103" s="1">
        <v>1</v>
      </c>
      <c r="F103" s="8">
        <v>546.06880000000001</v>
      </c>
      <c r="G103" s="8">
        <f>fact_anuncios[[#This Row],[preco_unit]]*(1-fact_anuncios[[#This Row],[perc_desconto_min]])</f>
        <v>505.65970880000003</v>
      </c>
      <c r="H103" s="8">
        <f>fact_anuncios[[#This Row],[preco_unit]]*fact_anuncios[[#This Row],[quantidade_anuncio]]</f>
        <v>546.06880000000001</v>
      </c>
      <c r="I103" s="1">
        <v>7.3999999999999996E-2</v>
      </c>
      <c r="J103" s="8">
        <f>fact_anuncios[[#This Row],[preco_min_unit]]*fact_anuncios[[#This Row],[quantidade_anuncio]]</f>
        <v>505.65970880000003</v>
      </c>
      <c r="K103" s="1" t="s">
        <v>18</v>
      </c>
      <c r="L103" s="1">
        <v>0.14000000000000001</v>
      </c>
      <c r="M103" s="9">
        <f>fact_anuncios[[#This Row],[preco_sugerido]]*fact_anuncios[[#This Row],[perc_comissao]]</f>
        <v>92.885135530839264</v>
      </c>
      <c r="N103" s="9">
        <v>20.95</v>
      </c>
      <c r="O103" s="4">
        <v>0.08</v>
      </c>
      <c r="P103" s="9">
        <f>fact_anuncios[[#This Row],[valor_tipo]]+fact_anuncios[[#This Row],[frete]]</f>
        <v>113.83513553083927</v>
      </c>
      <c r="Q103" s="9">
        <f>(fact_anuncios[[#This Row],[valor_tipo]]+fact_anuncios[[#This Row],[frete]])*(1+fact_anuncios[[#This Row],[markup_promo]])</f>
        <v>122.94194637330642</v>
      </c>
      <c r="R103" s="9">
        <f>((fact_anuncios[[#This Row],[valor_min_produto]] / (1-fact_anuncios[[#This Row],[markup_promo]])) +fact_anuncios[[#This Row],[frete]]) / (1 - fact_anuncios[[#This Row],[perc_comissao]])</f>
        <v>663.46525379170896</v>
      </c>
      <c r="S103" s="9">
        <f>(fact_anuncios[[#This Row],[valor_min_produto]] + fact_anuncios[[#This Row],[frete]]) / (1 - fact_anuncios[[#This Row],[perc_comissao]])</f>
        <v>612.3368706976745</v>
      </c>
      <c r="T103" s="9">
        <f>fact_anuncios[[#This Row],[atacado_1]] * 1.0254</f>
        <v>627.89022721339552</v>
      </c>
      <c r="U103" s="1" t="s">
        <v>7</v>
      </c>
    </row>
    <row r="104" spans="1:21" x14ac:dyDescent="0.3">
      <c r="A104" s="1">
        <v>1051</v>
      </c>
      <c r="B104" s="2" t="s">
        <v>227</v>
      </c>
      <c r="C104" s="2" t="s">
        <v>380</v>
      </c>
      <c r="D104" s="6" t="s">
        <v>529</v>
      </c>
      <c r="E104" s="1">
        <v>5</v>
      </c>
      <c r="F104" s="8">
        <v>546.06880000000001</v>
      </c>
      <c r="G104" s="8">
        <f>fact_anuncios[[#This Row],[preco_unit]]*(1-fact_anuncios[[#This Row],[perc_desconto_min]])</f>
        <v>505.65970880000003</v>
      </c>
      <c r="H104" s="8">
        <f>fact_anuncios[[#This Row],[preco_unit]]*fact_anuncios[[#This Row],[quantidade_anuncio]]</f>
        <v>2730.3440000000001</v>
      </c>
      <c r="I104" s="1">
        <v>7.3999999999999996E-2</v>
      </c>
      <c r="J104" s="8">
        <f>fact_anuncios[[#This Row],[preco_min_unit]]*fact_anuncios[[#This Row],[quantidade_anuncio]]</f>
        <v>2528.2985440000002</v>
      </c>
      <c r="K104" s="1" t="s">
        <v>18</v>
      </c>
      <c r="L104" s="1">
        <v>0.17</v>
      </c>
      <c r="M104" s="9">
        <f>fact_anuncios[[#This Row],[preco_sugerido]]*fact_anuncios[[#This Row],[perc_comissao]]</f>
        <v>567.49289219486661</v>
      </c>
      <c r="N104" s="9">
        <v>22.55</v>
      </c>
      <c r="O104" s="4">
        <v>0.08</v>
      </c>
      <c r="P104" s="9">
        <f>fact_anuncios[[#This Row],[valor_tipo]]+fact_anuncios[[#This Row],[frete]]</f>
        <v>590.04289219486657</v>
      </c>
      <c r="Q104" s="9">
        <f>(fact_anuncios[[#This Row],[valor_tipo]]+fact_anuncios[[#This Row],[frete]])*(1+fact_anuncios[[#This Row],[markup_promo]])</f>
        <v>637.24632357045596</v>
      </c>
      <c r="R104" s="9">
        <f>((fact_anuncios[[#This Row],[valor_min_produto]] / (1-fact_anuncios[[#This Row],[markup_promo]])) +fact_anuncios[[#This Row],[frete]]) / (1 - fact_anuncios[[#This Row],[perc_comissao]])</f>
        <v>3338.1934834992148</v>
      </c>
      <c r="S104" s="9">
        <f>(fact_anuncios[[#This Row],[valor_min_produto]] + fact_anuncios[[#This Row],[frete]]) / (1 - fact_anuncios[[#This Row],[perc_comissao]])</f>
        <v>3073.3114987951813</v>
      </c>
      <c r="T104" s="9">
        <f>fact_anuncios[[#This Row],[atacado_1]] * 1.0254</f>
        <v>3151.3736108645789</v>
      </c>
      <c r="U104" s="1" t="s">
        <v>7</v>
      </c>
    </row>
    <row r="105" spans="1:21" x14ac:dyDescent="0.3">
      <c r="A105" s="1">
        <v>1052</v>
      </c>
      <c r="B105" s="2" t="s">
        <v>184</v>
      </c>
      <c r="C105" s="2" t="s">
        <v>460</v>
      </c>
      <c r="D105" s="6" t="s">
        <v>498</v>
      </c>
      <c r="E105" s="1">
        <v>1</v>
      </c>
      <c r="F105" s="8">
        <v>412.89319999999998</v>
      </c>
      <c r="G105" s="8">
        <f>fact_anuncios[[#This Row],[preco_unit]]*(1-fact_anuncios[[#This Row],[perc_desconto_min]])</f>
        <v>377.79727800000001</v>
      </c>
      <c r="H105" s="8">
        <f>fact_anuncios[[#This Row],[preco_unit]]*fact_anuncios[[#This Row],[quantidade_anuncio]]</f>
        <v>412.89319999999998</v>
      </c>
      <c r="I105" s="1">
        <v>8.5000000000000006E-2</v>
      </c>
      <c r="J105" s="8">
        <f>fact_anuncios[[#This Row],[preco_min_unit]]*fact_anuncios[[#This Row],[quantidade_anuncio]]</f>
        <v>377.79727800000001</v>
      </c>
      <c r="K105" s="1" t="s">
        <v>18</v>
      </c>
      <c r="L105" s="1">
        <v>0.14000000000000001</v>
      </c>
      <c r="M105" s="9">
        <f>fact_anuncios[[#This Row],[preco_sugerido]]*fact_anuncios[[#This Row],[perc_comissao]]</f>
        <v>70.862662942366029</v>
      </c>
      <c r="N105" s="9">
        <v>24.65</v>
      </c>
      <c r="O105" s="4">
        <v>0.08</v>
      </c>
      <c r="P105" s="9">
        <f>fact_anuncios[[#This Row],[valor_tipo]]+fact_anuncios[[#This Row],[frete]]</f>
        <v>95.512662942366035</v>
      </c>
      <c r="Q105" s="9">
        <f>(fact_anuncios[[#This Row],[valor_tipo]]+fact_anuncios[[#This Row],[frete]])*(1+fact_anuncios[[#This Row],[markup_promo]])</f>
        <v>103.15367597775533</v>
      </c>
      <c r="R105" s="9">
        <f>((fact_anuncios[[#This Row],[valor_min_produto]] / (1-fact_anuncios[[#This Row],[markup_promo]])) +fact_anuncios[[#This Row],[frete]]) / (1 - fact_anuncios[[#This Row],[perc_comissao]])</f>
        <v>506.16187815975735</v>
      </c>
      <c r="S105" s="9">
        <f>(fact_anuncios[[#This Row],[valor_min_produto]] + fact_anuncios[[#This Row],[frete]]) / (1 - fact_anuncios[[#This Row],[perc_comissao]])</f>
        <v>467.96195116279068</v>
      </c>
      <c r="T105" s="9">
        <f>fact_anuncios[[#This Row],[atacado_1]] * 1.0254</f>
        <v>479.84818472232558</v>
      </c>
      <c r="U105" s="1" t="s">
        <v>22</v>
      </c>
    </row>
    <row r="106" spans="1:21" x14ac:dyDescent="0.3">
      <c r="A106" s="1">
        <v>1053</v>
      </c>
      <c r="B106" s="2" t="s">
        <v>235</v>
      </c>
      <c r="C106" s="2" t="s">
        <v>381</v>
      </c>
      <c r="D106" s="6" t="s">
        <v>499</v>
      </c>
      <c r="E106" s="1">
        <v>2</v>
      </c>
      <c r="F106" s="8">
        <v>116.7312</v>
      </c>
      <c r="G106" s="8">
        <f>fact_anuncios[[#This Row],[preco_unit]]*(1-fact_anuncios[[#This Row],[perc_desconto_min]])</f>
        <v>107.39270400000001</v>
      </c>
      <c r="H106" s="8">
        <f>fact_anuncios[[#This Row],[preco_unit]]*fact_anuncios[[#This Row],[quantidade_anuncio]]</f>
        <v>233.4624</v>
      </c>
      <c r="I106" s="1">
        <v>0.08</v>
      </c>
      <c r="J106" s="8">
        <f>fact_anuncios[[#This Row],[preco_min_unit]]*fact_anuncios[[#This Row],[quantidade_anuncio]]</f>
        <v>214.78540800000002</v>
      </c>
      <c r="K106" s="1" t="s">
        <v>18</v>
      </c>
      <c r="L106" s="1">
        <v>0.13500000000000001</v>
      </c>
      <c r="M106" s="9">
        <f>fact_anuncios[[#This Row],[preco_sugerido]]*fact_anuncios[[#This Row],[perc_comissao]]</f>
        <v>40.283438150289022</v>
      </c>
      <c r="N106" s="9">
        <v>24.65</v>
      </c>
      <c r="O106" s="4">
        <v>0.08</v>
      </c>
      <c r="P106" s="9">
        <f>fact_anuncios[[#This Row],[valor_tipo]]+fact_anuncios[[#This Row],[frete]]</f>
        <v>64.933438150289021</v>
      </c>
      <c r="Q106" s="9">
        <f>(fact_anuncios[[#This Row],[valor_tipo]]+fact_anuncios[[#This Row],[frete]])*(1+fact_anuncios[[#This Row],[markup_promo]])</f>
        <v>70.12811320231215</v>
      </c>
      <c r="R106" s="9">
        <f>((fact_anuncios[[#This Row],[valor_min_produto]] / (1-fact_anuncios[[#This Row],[markup_promo]])) +fact_anuncios[[#This Row],[frete]]) / (1 - fact_anuncios[[#This Row],[perc_comissao]])</f>
        <v>298.39583815028902</v>
      </c>
      <c r="S106" s="9">
        <f>(fact_anuncios[[#This Row],[valor_min_produto]] + fact_anuncios[[#This Row],[frete]]) / (1 - fact_anuncios[[#This Row],[perc_comissao]])</f>
        <v>276.80393988439312</v>
      </c>
      <c r="T106" s="9">
        <f>fact_anuncios[[#This Row],[atacado_1]] * 1.0254</f>
        <v>283.83475995745675</v>
      </c>
      <c r="U106" s="1" t="s">
        <v>5</v>
      </c>
    </row>
    <row r="107" spans="1:21" x14ac:dyDescent="0.3">
      <c r="A107" s="1">
        <v>1054</v>
      </c>
      <c r="B107" s="2" t="s">
        <v>186</v>
      </c>
      <c r="C107" s="2" t="s">
        <v>310</v>
      </c>
      <c r="D107" s="6" t="s">
        <v>537</v>
      </c>
      <c r="E107" s="1">
        <v>1</v>
      </c>
      <c r="F107" s="8">
        <v>266.69080000000002</v>
      </c>
      <c r="G107" s="8">
        <f>fact_anuncios[[#This Row],[preco_unit]]*(1-fact_anuncios[[#This Row],[perc_desconto_min]])</f>
        <v>244.02208200000004</v>
      </c>
      <c r="H107" s="8">
        <f>fact_anuncios[[#This Row],[preco_unit]]*fact_anuncios[[#This Row],[quantidade_anuncio]]</f>
        <v>266.69080000000002</v>
      </c>
      <c r="I107" s="1">
        <v>8.5000000000000006E-2</v>
      </c>
      <c r="J107" s="8">
        <f>fact_anuncios[[#This Row],[preco_min_unit]]*fact_anuncios[[#This Row],[quantidade_anuncio]]</f>
        <v>244.02208200000004</v>
      </c>
      <c r="K107" s="1" t="s">
        <v>18</v>
      </c>
      <c r="L107" s="1">
        <v>0.14000000000000001</v>
      </c>
      <c r="M107" s="9">
        <f>fact_anuncios[[#This Row],[preco_sugerido]]*fact_anuncios[[#This Row],[perc_comissao]]</f>
        <v>47.191622194135498</v>
      </c>
      <c r="N107" s="9">
        <v>24.65</v>
      </c>
      <c r="O107" s="4">
        <v>0.08</v>
      </c>
      <c r="P107" s="9">
        <f>fact_anuncios[[#This Row],[valor_tipo]]+fact_anuncios[[#This Row],[frete]]</f>
        <v>71.841622194135496</v>
      </c>
      <c r="Q107" s="9">
        <f>(fact_anuncios[[#This Row],[valor_tipo]]+fact_anuncios[[#This Row],[frete]])*(1+fact_anuncios[[#This Row],[markup_promo]])</f>
        <v>77.58895196966634</v>
      </c>
      <c r="R107" s="9">
        <f>((fact_anuncios[[#This Row],[valor_min_produto]] / (1-fact_anuncios[[#This Row],[markup_promo]])) +fact_anuncios[[#This Row],[frete]]) / (1 - fact_anuncios[[#This Row],[perc_comissao]])</f>
        <v>337.08301567239636</v>
      </c>
      <c r="S107" s="9">
        <f>(fact_anuncios[[#This Row],[valor_min_produto]] + fact_anuncios[[#This Row],[frete]]) / (1 - fact_anuncios[[#This Row],[perc_comissao]])</f>
        <v>312.40939767441864</v>
      </c>
      <c r="T107" s="9">
        <f>fact_anuncios[[#This Row],[atacado_1]] * 1.0254</f>
        <v>320.34459637534889</v>
      </c>
      <c r="U107" s="1" t="s">
        <v>22</v>
      </c>
    </row>
    <row r="108" spans="1:21" x14ac:dyDescent="0.3">
      <c r="A108" s="1">
        <v>1055</v>
      </c>
      <c r="B108" s="2" t="s">
        <v>159</v>
      </c>
      <c r="C108" s="2" t="s">
        <v>382</v>
      </c>
      <c r="D108" s="6" t="s">
        <v>500</v>
      </c>
      <c r="E108" s="1">
        <v>25</v>
      </c>
      <c r="F108" s="8">
        <v>30.212</v>
      </c>
      <c r="G108" s="8">
        <f>fact_anuncios[[#This Row],[preco_unit]]*(1-fact_anuncios[[#This Row],[perc_desconto_min]])</f>
        <v>28.7014</v>
      </c>
      <c r="H108" s="8">
        <f>fact_anuncios[[#This Row],[preco_unit]]*fact_anuncios[[#This Row],[quantidade_anuncio]]</f>
        <v>755.3</v>
      </c>
      <c r="I108" s="1">
        <v>0.05</v>
      </c>
      <c r="J108" s="8">
        <f>fact_anuncios[[#This Row],[preco_min_unit]]*fact_anuncios[[#This Row],[quantidade_anuncio]]</f>
        <v>717.53499999999997</v>
      </c>
      <c r="K108" s="1" t="s">
        <v>18</v>
      </c>
      <c r="L108" s="1">
        <v>0.17</v>
      </c>
      <c r="M108" s="9">
        <f>fact_anuncios[[#This Row],[preco_sugerido]]*fact_anuncios[[#This Row],[perc_comissao]]</f>
        <v>166.04275798847564</v>
      </c>
      <c r="N108" s="9">
        <v>30.75</v>
      </c>
      <c r="O108" s="4">
        <v>0.08</v>
      </c>
      <c r="P108" s="9">
        <f>fact_anuncios[[#This Row],[valor_tipo]]+fact_anuncios[[#This Row],[frete]]</f>
        <v>196.79275798847564</v>
      </c>
      <c r="Q108" s="9">
        <f>(fact_anuncios[[#This Row],[valor_tipo]]+fact_anuncios[[#This Row],[frete]])*(1+fact_anuncios[[#This Row],[markup_promo]])</f>
        <v>212.53617862755371</v>
      </c>
      <c r="R108" s="9">
        <f>((fact_anuncios[[#This Row],[valor_min_produto]] / (1-fact_anuncios[[#This Row],[markup_promo]])) +fact_anuncios[[#This Row],[frete]]) / (1 - fact_anuncios[[#This Row],[perc_comissao]])</f>
        <v>976.72210581456261</v>
      </c>
      <c r="S108" s="9">
        <f>(fact_anuncios[[#This Row],[valor_min_produto]] + fact_anuncios[[#This Row],[frete]]) / (1 - fact_anuncios[[#This Row],[perc_comissao]])</f>
        <v>901.54819277108436</v>
      </c>
      <c r="T108" s="9">
        <f>fact_anuncios[[#This Row],[atacado_1]] * 1.0254</f>
        <v>924.44751686746997</v>
      </c>
      <c r="U108" s="1" t="s">
        <v>4</v>
      </c>
    </row>
    <row r="109" spans="1:21" x14ac:dyDescent="0.3">
      <c r="A109" s="1">
        <v>1055</v>
      </c>
      <c r="B109" s="2" t="s">
        <v>160</v>
      </c>
      <c r="C109" s="2" t="s">
        <v>383</v>
      </c>
      <c r="D109" s="6" t="s">
        <v>500</v>
      </c>
      <c r="E109" s="1">
        <v>25</v>
      </c>
      <c r="F109" s="8">
        <v>30.212</v>
      </c>
      <c r="G109" s="8">
        <f>fact_anuncios[[#This Row],[preco_unit]]*(1-fact_anuncios[[#This Row],[perc_desconto_min]])</f>
        <v>28.7014</v>
      </c>
      <c r="H109" s="8">
        <f>fact_anuncios[[#This Row],[preco_unit]]*fact_anuncios[[#This Row],[quantidade_anuncio]]</f>
        <v>755.3</v>
      </c>
      <c r="I109" s="1">
        <v>0.05</v>
      </c>
      <c r="J109" s="8">
        <f>fact_anuncios[[#This Row],[preco_min_unit]]*fact_anuncios[[#This Row],[quantidade_anuncio]]</f>
        <v>717.53499999999997</v>
      </c>
      <c r="K109" s="1" t="s">
        <v>18</v>
      </c>
      <c r="L109" s="1">
        <v>0.17</v>
      </c>
      <c r="M109" s="9">
        <f>fact_anuncios[[#This Row],[preco_sugerido]]*fact_anuncios[[#This Row],[perc_comissao]]</f>
        <v>166.04275798847564</v>
      </c>
      <c r="N109" s="9">
        <v>30.75</v>
      </c>
      <c r="O109" s="4">
        <v>0.08</v>
      </c>
      <c r="P109" s="9">
        <f>fact_anuncios[[#This Row],[valor_tipo]]+fact_anuncios[[#This Row],[frete]]</f>
        <v>196.79275798847564</v>
      </c>
      <c r="Q109" s="9">
        <f>(fact_anuncios[[#This Row],[valor_tipo]]+fact_anuncios[[#This Row],[frete]])*(1+fact_anuncios[[#This Row],[markup_promo]])</f>
        <v>212.53617862755371</v>
      </c>
      <c r="R109" s="9">
        <f>((fact_anuncios[[#This Row],[valor_min_produto]] / (1-fact_anuncios[[#This Row],[markup_promo]])) +fact_anuncios[[#This Row],[frete]]) / (1 - fact_anuncios[[#This Row],[perc_comissao]])</f>
        <v>976.72210581456261</v>
      </c>
      <c r="S109" s="9">
        <f>(fact_anuncios[[#This Row],[valor_min_produto]] + fact_anuncios[[#This Row],[frete]]) / (1 - fact_anuncios[[#This Row],[perc_comissao]])</f>
        <v>901.54819277108436</v>
      </c>
      <c r="T109" s="9">
        <f>fact_anuncios[[#This Row],[atacado_1]] * 1.0254</f>
        <v>924.44751686746997</v>
      </c>
      <c r="U109" s="1" t="s">
        <v>4</v>
      </c>
    </row>
    <row r="110" spans="1:21" x14ac:dyDescent="0.3">
      <c r="A110" s="1">
        <v>1056</v>
      </c>
      <c r="B110" s="2" t="s">
        <v>161</v>
      </c>
      <c r="C110" s="2" t="s">
        <v>384</v>
      </c>
      <c r="D110" s="6" t="s">
        <v>501</v>
      </c>
      <c r="E110" s="1">
        <v>10</v>
      </c>
      <c r="F110" s="8">
        <v>18.659700000000001</v>
      </c>
      <c r="G110" s="8">
        <f>fact_anuncios[[#This Row],[preco_unit]]*(1-fact_anuncios[[#This Row],[perc_desconto_min]])</f>
        <v>16.607133000000001</v>
      </c>
      <c r="H110" s="8">
        <f>fact_anuncios[[#This Row],[preco_unit]]*fact_anuncios[[#This Row],[quantidade_anuncio]]</f>
        <v>186.59700000000001</v>
      </c>
      <c r="I110" s="1">
        <v>0.11</v>
      </c>
      <c r="J110" s="8">
        <f>fact_anuncios[[#This Row],[preco_min_unit]]*fact_anuncios[[#This Row],[quantidade_anuncio]]</f>
        <v>166.07133000000002</v>
      </c>
      <c r="K110" s="1" t="s">
        <v>18</v>
      </c>
      <c r="L110" s="1">
        <v>0.14000000000000001</v>
      </c>
      <c r="M110" s="9">
        <f>fact_anuncios[[#This Row],[preco_sugerido]]*fact_anuncios[[#This Row],[perc_comissao]]</f>
        <v>33.23572573306371</v>
      </c>
      <c r="N110" s="9">
        <v>23.65</v>
      </c>
      <c r="O110" s="4">
        <v>0.08</v>
      </c>
      <c r="P110" s="9">
        <f>fact_anuncios[[#This Row],[valor_tipo]]+fact_anuncios[[#This Row],[frete]]</f>
        <v>56.885725733063708</v>
      </c>
      <c r="Q110" s="9">
        <f>(fact_anuncios[[#This Row],[valor_tipo]]+fact_anuncios[[#This Row],[frete]])*(1+fact_anuncios[[#This Row],[markup_promo]])</f>
        <v>61.436583791708806</v>
      </c>
      <c r="R110" s="9">
        <f>((fact_anuncios[[#This Row],[valor_min_produto]] / (1-fact_anuncios[[#This Row],[markup_promo]])) +fact_anuncios[[#This Row],[frete]]) / (1 - fact_anuncios[[#This Row],[perc_comissao]])</f>
        <v>237.39804095045503</v>
      </c>
      <c r="S110" s="9">
        <f>(fact_anuncios[[#This Row],[valor_min_produto]] + fact_anuncios[[#This Row],[frete]]) / (1 - fact_anuncios[[#This Row],[perc_comissao]])</f>
        <v>220.60619767441864</v>
      </c>
      <c r="T110" s="9">
        <f>fact_anuncios[[#This Row],[atacado_1]] * 1.0254</f>
        <v>226.2095950953489</v>
      </c>
      <c r="U110" s="1" t="s">
        <v>4</v>
      </c>
    </row>
    <row r="111" spans="1:21" x14ac:dyDescent="0.3">
      <c r="A111" s="1">
        <v>1056</v>
      </c>
      <c r="B111" s="2" t="s">
        <v>162</v>
      </c>
      <c r="C111" s="2" t="s">
        <v>385</v>
      </c>
      <c r="D111" s="6" t="s">
        <v>501</v>
      </c>
      <c r="E111" s="1">
        <v>10</v>
      </c>
      <c r="F111" s="8">
        <v>18.659700000000001</v>
      </c>
      <c r="G111" s="8">
        <f>fact_anuncios[[#This Row],[preco_unit]]*(1-fact_anuncios[[#This Row],[perc_desconto_min]])</f>
        <v>16.607133000000001</v>
      </c>
      <c r="H111" s="8">
        <f>fact_anuncios[[#This Row],[preco_unit]]*fact_anuncios[[#This Row],[quantidade_anuncio]]</f>
        <v>186.59700000000001</v>
      </c>
      <c r="I111" s="1">
        <v>0.11</v>
      </c>
      <c r="J111" s="8">
        <f>fact_anuncios[[#This Row],[preco_min_unit]]*fact_anuncios[[#This Row],[quantidade_anuncio]]</f>
        <v>166.07133000000002</v>
      </c>
      <c r="K111" s="1" t="s">
        <v>18</v>
      </c>
      <c r="L111" s="1">
        <v>0.14000000000000001</v>
      </c>
      <c r="M111" s="9">
        <f>fact_anuncios[[#This Row],[preco_sugerido]]*fact_anuncios[[#This Row],[perc_comissao]]</f>
        <v>33.23572573306371</v>
      </c>
      <c r="N111" s="9">
        <v>23.65</v>
      </c>
      <c r="O111" s="4">
        <v>0.08</v>
      </c>
      <c r="P111" s="9">
        <f>fact_anuncios[[#This Row],[valor_tipo]]+fact_anuncios[[#This Row],[frete]]</f>
        <v>56.885725733063708</v>
      </c>
      <c r="Q111" s="9">
        <f>(fact_anuncios[[#This Row],[valor_tipo]]+fact_anuncios[[#This Row],[frete]])*(1+fact_anuncios[[#This Row],[markup_promo]])</f>
        <v>61.436583791708806</v>
      </c>
      <c r="R111" s="9">
        <f>((fact_anuncios[[#This Row],[valor_min_produto]] / (1-fact_anuncios[[#This Row],[markup_promo]])) +fact_anuncios[[#This Row],[frete]]) / (1 - fact_anuncios[[#This Row],[perc_comissao]])</f>
        <v>237.39804095045503</v>
      </c>
      <c r="S111" s="9">
        <f>(fact_anuncios[[#This Row],[valor_min_produto]] + fact_anuncios[[#This Row],[frete]]) / (1 - fact_anuncios[[#This Row],[perc_comissao]])</f>
        <v>220.60619767441864</v>
      </c>
      <c r="T111" s="9">
        <f>fact_anuncios[[#This Row],[atacado_1]] * 1.0254</f>
        <v>226.2095950953489</v>
      </c>
      <c r="U111" s="1" t="s">
        <v>4</v>
      </c>
    </row>
    <row r="112" spans="1:21" x14ac:dyDescent="0.3">
      <c r="A112" s="1">
        <v>1057</v>
      </c>
      <c r="B112" s="2" t="s">
        <v>248</v>
      </c>
      <c r="C112" s="2" t="s">
        <v>461</v>
      </c>
      <c r="D112" s="6" t="s">
        <v>538</v>
      </c>
      <c r="E112" s="1">
        <v>1</v>
      </c>
      <c r="F112" s="8">
        <v>2936.0940000000001</v>
      </c>
      <c r="G112" s="8">
        <f>fact_anuncios[[#This Row],[preco_unit]]*(1-fact_anuncios[[#This Row],[perc_desconto_min]])</f>
        <v>2935.8003905999999</v>
      </c>
      <c r="H112" s="8">
        <f>fact_anuncios[[#This Row],[preco_unit]]*fact_anuncios[[#This Row],[quantidade_anuncio]]</f>
        <v>2936.0940000000001</v>
      </c>
      <c r="I112" s="1">
        <v>1E-4</v>
      </c>
      <c r="J112" s="8">
        <f>fact_anuncios[[#This Row],[preco_min_unit]]*fact_anuncios[[#This Row],[quantidade_anuncio]]</f>
        <v>2935.8003905999999</v>
      </c>
      <c r="K112" s="1" t="s">
        <v>18</v>
      </c>
      <c r="L112" s="1">
        <v>0.17</v>
      </c>
      <c r="M112" s="9">
        <f>fact_anuncios[[#This Row],[preco_sugerido]]*fact_anuncios[[#This Row],[perc_comissao]]</f>
        <v>663.70404190937666</v>
      </c>
      <c r="N112" s="9">
        <v>49.35</v>
      </c>
      <c r="O112" s="4">
        <v>0.08</v>
      </c>
      <c r="P112" s="9">
        <f>fact_anuncios[[#This Row],[valor_tipo]]+fact_anuncios[[#This Row],[frete]]</f>
        <v>713.05404190937668</v>
      </c>
      <c r="Q112" s="9">
        <f>(fact_anuncios[[#This Row],[valor_tipo]]+fact_anuncios[[#This Row],[frete]])*(1+fact_anuncios[[#This Row],[markup_promo]])</f>
        <v>770.09836526212689</v>
      </c>
      <c r="R112" s="9">
        <f>((fact_anuncios[[#This Row],[valor_min_produto]] / (1-fact_anuncios[[#This Row],[markup_promo]])) +fact_anuncios[[#This Row],[frete]]) / (1 - fact_anuncios[[#This Row],[perc_comissao]])</f>
        <v>3904.1414229963329</v>
      </c>
      <c r="S112" s="9">
        <f>(fact_anuncios[[#This Row],[valor_min_produto]] + fact_anuncios[[#This Row],[frete]]) / (1 - fact_anuncios[[#This Row],[perc_comissao]])</f>
        <v>3596.5667356626504</v>
      </c>
      <c r="T112" s="9">
        <f>fact_anuncios[[#This Row],[atacado_1]] * 1.0254</f>
        <v>3687.919530748482</v>
      </c>
      <c r="U112" s="1" t="s">
        <v>6</v>
      </c>
    </row>
    <row r="113" spans="1:21" x14ac:dyDescent="0.3">
      <c r="A113" s="1">
        <v>1057</v>
      </c>
      <c r="B113" s="2" t="s">
        <v>249</v>
      </c>
      <c r="C113" s="2" t="s">
        <v>386</v>
      </c>
      <c r="D113" s="6" t="s">
        <v>538</v>
      </c>
      <c r="E113" s="1">
        <v>1</v>
      </c>
      <c r="F113" s="8">
        <v>2936.0940000000001</v>
      </c>
      <c r="G113" s="8">
        <f>fact_anuncios[[#This Row],[preco_unit]]*(1-fact_anuncios[[#This Row],[perc_desconto_min]])</f>
        <v>2935.8003905999999</v>
      </c>
      <c r="H113" s="8">
        <f>fact_anuncios[[#This Row],[preco_unit]]*fact_anuncios[[#This Row],[quantidade_anuncio]]</f>
        <v>2936.0940000000001</v>
      </c>
      <c r="I113" s="1">
        <v>1E-4</v>
      </c>
      <c r="J113" s="8">
        <f>fact_anuncios[[#This Row],[preco_min_unit]]*fact_anuncios[[#This Row],[quantidade_anuncio]]</f>
        <v>2935.8003905999999</v>
      </c>
      <c r="K113" s="1" t="s">
        <v>18</v>
      </c>
      <c r="L113" s="1">
        <v>0.17</v>
      </c>
      <c r="M113" s="9">
        <f>fact_anuncios[[#This Row],[preco_sugerido]]*fact_anuncios[[#This Row],[perc_comissao]]</f>
        <v>669.70524672865383</v>
      </c>
      <c r="N113" s="9">
        <v>78.650000000000006</v>
      </c>
      <c r="O113" s="4">
        <v>0.08</v>
      </c>
      <c r="P113" s="9">
        <f>fact_anuncios[[#This Row],[valor_tipo]]+fact_anuncios[[#This Row],[frete]]</f>
        <v>748.35524672865381</v>
      </c>
      <c r="Q113" s="9">
        <f>(fact_anuncios[[#This Row],[valor_tipo]]+fact_anuncios[[#This Row],[frete]])*(1+fact_anuncios[[#This Row],[markup_promo]])</f>
        <v>808.22366646694616</v>
      </c>
      <c r="R113" s="9">
        <f>((fact_anuncios[[#This Row],[valor_min_produto]] / (1-fact_anuncios[[#This Row],[markup_promo]])) +fact_anuncios[[#This Row],[frete]]) / (1 - fact_anuncios[[#This Row],[perc_comissao]])</f>
        <v>3939.4426278156102</v>
      </c>
      <c r="S113" s="9">
        <f>(fact_anuncios[[#This Row],[valor_min_produto]] + fact_anuncios[[#This Row],[frete]]) / (1 - fact_anuncios[[#This Row],[perc_comissao]])</f>
        <v>3631.8679404819277</v>
      </c>
      <c r="T113" s="9">
        <f>fact_anuncios[[#This Row],[atacado_1]] * 1.0254</f>
        <v>3724.1173861701691</v>
      </c>
      <c r="U113" s="1" t="s">
        <v>6</v>
      </c>
    </row>
    <row r="114" spans="1:21" x14ac:dyDescent="0.3">
      <c r="A114" s="1">
        <v>1058</v>
      </c>
      <c r="B114" s="2" t="s">
        <v>221</v>
      </c>
      <c r="C114" s="2" t="s">
        <v>462</v>
      </c>
      <c r="D114" s="6" t="s">
        <v>537</v>
      </c>
      <c r="E114" s="1">
        <v>1</v>
      </c>
      <c r="F114" s="8">
        <v>304.81900000000002</v>
      </c>
      <c r="G114" s="8">
        <f>fact_anuncios[[#This Row],[preco_unit]]*(1-fact_anuncios[[#This Row],[perc_desconto_min]])</f>
        <v>278.90938500000004</v>
      </c>
      <c r="H114" s="8">
        <f>fact_anuncios[[#This Row],[preco_unit]]*fact_anuncios[[#This Row],[quantidade_anuncio]]</f>
        <v>304.81900000000002</v>
      </c>
      <c r="I114" s="1">
        <v>8.5000000000000006E-2</v>
      </c>
      <c r="J114" s="8">
        <f>fact_anuncios[[#This Row],[preco_min_unit]]*fact_anuncios[[#This Row],[quantidade_anuncio]]</f>
        <v>278.90938500000004</v>
      </c>
      <c r="K114" s="1" t="s">
        <v>18</v>
      </c>
      <c r="L114" s="1">
        <v>0.14000000000000001</v>
      </c>
      <c r="M114" s="9">
        <f>fact_anuncios[[#This Row],[preco_sugerido]]*fact_anuncios[[#This Row],[perc_comissao]]</f>
        <v>53.364805232558147</v>
      </c>
      <c r="N114" s="9">
        <v>24.65</v>
      </c>
      <c r="O114" s="4">
        <v>0.08</v>
      </c>
      <c r="P114" s="9">
        <f>fact_anuncios[[#This Row],[valor_tipo]]+fact_anuncios[[#This Row],[frete]]</f>
        <v>78.014805232558146</v>
      </c>
      <c r="Q114" s="9">
        <f>(fact_anuncios[[#This Row],[valor_tipo]]+fact_anuncios[[#This Row],[frete]])*(1+fact_anuncios[[#This Row],[markup_promo]])</f>
        <v>84.255989651162807</v>
      </c>
      <c r="R114" s="9">
        <f>((fact_anuncios[[#This Row],[valor_min_produto]] / (1-fact_anuncios[[#This Row],[markup_promo]])) +fact_anuncios[[#This Row],[frete]]) / (1 - fact_anuncios[[#This Row],[perc_comissao]])</f>
        <v>381.17718023255816</v>
      </c>
      <c r="S114" s="9">
        <f>(fact_anuncios[[#This Row],[valor_min_produto]] + fact_anuncios[[#This Row],[frete]]) / (1 - fact_anuncios[[#This Row],[perc_comissao]])</f>
        <v>352.97602906976749</v>
      </c>
      <c r="T114" s="9">
        <f>fact_anuncios[[#This Row],[atacado_1]] * 1.0254</f>
        <v>361.94162020813962</v>
      </c>
      <c r="U114" s="1" t="s">
        <v>22</v>
      </c>
    </row>
    <row r="115" spans="1:21" x14ac:dyDescent="0.3">
      <c r="A115" s="1">
        <v>1059</v>
      </c>
      <c r="B115" s="2" t="s">
        <v>295</v>
      </c>
      <c r="C115" s="2" t="s">
        <v>463</v>
      </c>
      <c r="D115" s="6" t="s">
        <v>502</v>
      </c>
      <c r="E115" s="1">
        <v>1</v>
      </c>
      <c r="F115" s="8">
        <v>172.17769999999999</v>
      </c>
      <c r="G115" s="8">
        <f>fact_anuncios[[#This Row],[preco_unit]]*(1-fact_anuncios[[#This Row],[perc_desconto_min]])</f>
        <v>163.56881499999997</v>
      </c>
      <c r="H115" s="8">
        <f>fact_anuncios[[#This Row],[preco_unit]]*fact_anuncios[[#This Row],[quantidade_anuncio]]</f>
        <v>172.17769999999999</v>
      </c>
      <c r="I115" s="1">
        <v>0.05</v>
      </c>
      <c r="J115" s="8">
        <f>fact_anuncios[[#This Row],[preco_min_unit]]*fact_anuncios[[#This Row],[quantidade_anuncio]]</f>
        <v>163.56881499999997</v>
      </c>
      <c r="K115" s="1" t="s">
        <v>18</v>
      </c>
      <c r="L115" s="1">
        <v>0.14000000000000001</v>
      </c>
      <c r="M115" s="9">
        <f>fact_anuncios[[#This Row],[preco_sugerido]]*fact_anuncios[[#This Row],[perc_comissao]]</f>
        <v>32.320821663296257</v>
      </c>
      <c r="N115" s="9">
        <v>20.75</v>
      </c>
      <c r="O115" s="4">
        <v>0.08</v>
      </c>
      <c r="P115" s="9">
        <f>fact_anuncios[[#This Row],[valor_tipo]]+fact_anuncios[[#This Row],[frete]]</f>
        <v>53.070821663296257</v>
      </c>
      <c r="Q115" s="9">
        <f>(fact_anuncios[[#This Row],[valor_tipo]]+fact_anuncios[[#This Row],[frete]])*(1+fact_anuncios[[#This Row],[markup_promo]])</f>
        <v>57.31648739635996</v>
      </c>
      <c r="R115" s="9">
        <f>((fact_anuncios[[#This Row],[valor_min_produto]] / (1-fact_anuncios[[#This Row],[markup_promo]])) +fact_anuncios[[#This Row],[frete]]) / (1 - fact_anuncios[[#This Row],[perc_comissao]])</f>
        <v>230.86301188068751</v>
      </c>
      <c r="S115" s="9">
        <f>(fact_anuncios[[#This Row],[valor_min_produto]] + fact_anuncios[[#This Row],[frete]]) / (1 - fact_anuncios[[#This Row],[perc_comissao]])</f>
        <v>214.32420348837206</v>
      </c>
      <c r="T115" s="9">
        <f>fact_anuncios[[#This Row],[atacado_1]] * 1.0254</f>
        <v>219.76803825697672</v>
      </c>
      <c r="U115" s="1" t="s">
        <v>4</v>
      </c>
    </row>
    <row r="116" spans="1:21" x14ac:dyDescent="0.3">
      <c r="A116" s="1">
        <v>1060</v>
      </c>
      <c r="B116" s="2" t="s">
        <v>170</v>
      </c>
      <c r="C116" s="2" t="s">
        <v>387</v>
      </c>
      <c r="D116" s="6" t="s">
        <v>539</v>
      </c>
      <c r="E116" s="1">
        <v>2</v>
      </c>
      <c r="F116" s="8">
        <v>37.771700000000003</v>
      </c>
      <c r="G116" s="8">
        <f>fact_anuncios[[#This Row],[preco_unit]]*(1-fact_anuncios[[#This Row],[perc_desconto_min]])</f>
        <v>35.316539500000005</v>
      </c>
      <c r="H116" s="8">
        <f>fact_anuncios[[#This Row],[preco_unit]]*fact_anuncios[[#This Row],[quantidade_anuncio]]</f>
        <v>75.543400000000005</v>
      </c>
      <c r="I116" s="1">
        <v>6.5000000000000002E-2</v>
      </c>
      <c r="J116" s="8">
        <f>fact_anuncios[[#This Row],[preco_min_unit]]*fact_anuncios[[#This Row],[quantidade_anuncio]]</f>
        <v>70.633079000000009</v>
      </c>
      <c r="K116" s="1" t="s">
        <v>18</v>
      </c>
      <c r="L116" s="1">
        <v>0.17</v>
      </c>
      <c r="M116" s="9">
        <f>fact_anuncios[[#This Row],[preco_sugerido]]*fact_anuncios[[#This Row],[perc_comissao]]</f>
        <v>19.094294696176014</v>
      </c>
      <c r="N116" s="9">
        <v>16.45</v>
      </c>
      <c r="O116" s="4">
        <v>0.08</v>
      </c>
      <c r="P116" s="9">
        <f>fact_anuncios[[#This Row],[valor_tipo]]+fact_anuncios[[#This Row],[frete]]</f>
        <v>35.54429469617601</v>
      </c>
      <c r="Q116" s="9">
        <f>(fact_anuncios[[#This Row],[valor_tipo]]+fact_anuncios[[#This Row],[frete]])*(1+fact_anuncios[[#This Row],[markup_promo]])</f>
        <v>38.387838271870095</v>
      </c>
      <c r="R116" s="9">
        <f>((fact_anuncios[[#This Row],[valor_min_produto]] / (1-fact_anuncios[[#This Row],[markup_promo]])) +fact_anuncios[[#This Row],[frete]]) / (1 - fact_anuncios[[#This Row],[perc_comissao]])</f>
        <v>112.31938056574126</v>
      </c>
      <c r="S116" s="9">
        <f>(fact_anuncios[[#This Row],[valor_min_produto]] + fact_anuncios[[#This Row],[frete]]) / (1 - fact_anuncios[[#This Row],[perc_comissao]])</f>
        <v>104.91937228915664</v>
      </c>
      <c r="T116" s="9">
        <f>fact_anuncios[[#This Row],[atacado_1]] * 1.0254</f>
        <v>107.58432434530123</v>
      </c>
      <c r="U116" s="1" t="s">
        <v>20</v>
      </c>
    </row>
    <row r="117" spans="1:21" x14ac:dyDescent="0.3">
      <c r="A117" s="1">
        <v>1060</v>
      </c>
      <c r="B117" s="2" t="s">
        <v>171</v>
      </c>
      <c r="C117" s="2" t="s">
        <v>388</v>
      </c>
      <c r="D117" s="6" t="s">
        <v>539</v>
      </c>
      <c r="E117" s="1">
        <v>2</v>
      </c>
      <c r="F117" s="8">
        <v>37.771700000000003</v>
      </c>
      <c r="G117" s="8">
        <f>fact_anuncios[[#This Row],[preco_unit]]*(1-fact_anuncios[[#This Row],[perc_desconto_min]])</f>
        <v>35.316539500000005</v>
      </c>
      <c r="H117" s="8">
        <f>fact_anuncios[[#This Row],[preco_unit]]*fact_anuncios[[#This Row],[quantidade_anuncio]]</f>
        <v>75.543400000000005</v>
      </c>
      <c r="I117" s="1">
        <v>6.5000000000000002E-2</v>
      </c>
      <c r="J117" s="8">
        <f>fact_anuncios[[#This Row],[preco_min_unit]]*fact_anuncios[[#This Row],[quantidade_anuncio]]</f>
        <v>70.633079000000009</v>
      </c>
      <c r="K117" s="1" t="s">
        <v>18</v>
      </c>
      <c r="L117" s="1">
        <v>0.17</v>
      </c>
      <c r="M117" s="9">
        <f>fact_anuncios[[#This Row],[preco_sugerido]]*fact_anuncios[[#This Row],[perc_comissao]]</f>
        <v>19.094294696176014</v>
      </c>
      <c r="N117" s="9">
        <v>16.45</v>
      </c>
      <c r="O117" s="4">
        <v>0.08</v>
      </c>
      <c r="P117" s="9">
        <f>fact_anuncios[[#This Row],[valor_tipo]]+fact_anuncios[[#This Row],[frete]]</f>
        <v>35.54429469617601</v>
      </c>
      <c r="Q117" s="9">
        <f>(fact_anuncios[[#This Row],[valor_tipo]]+fact_anuncios[[#This Row],[frete]])*(1+fact_anuncios[[#This Row],[markup_promo]])</f>
        <v>38.387838271870095</v>
      </c>
      <c r="R117" s="9">
        <f>((fact_anuncios[[#This Row],[valor_min_produto]] / (1-fact_anuncios[[#This Row],[markup_promo]])) +fact_anuncios[[#This Row],[frete]]) / (1 - fact_anuncios[[#This Row],[perc_comissao]])</f>
        <v>112.31938056574126</v>
      </c>
      <c r="S117" s="9">
        <f>(fact_anuncios[[#This Row],[valor_min_produto]] + fact_anuncios[[#This Row],[frete]]) / (1 - fact_anuncios[[#This Row],[perc_comissao]])</f>
        <v>104.91937228915664</v>
      </c>
      <c r="T117" s="9">
        <f>fact_anuncios[[#This Row],[atacado_1]] * 1.0254</f>
        <v>107.58432434530123</v>
      </c>
      <c r="U117" s="1" t="s">
        <v>20</v>
      </c>
    </row>
    <row r="118" spans="1:21" x14ac:dyDescent="0.3">
      <c r="A118" s="1">
        <v>1061</v>
      </c>
      <c r="B118" s="2" t="s">
        <v>296</v>
      </c>
      <c r="C118" s="2" t="s">
        <v>464</v>
      </c>
      <c r="D118" s="6" t="s">
        <v>503</v>
      </c>
      <c r="E118" s="1">
        <v>1</v>
      </c>
      <c r="F118" s="8">
        <v>87.324299999999994</v>
      </c>
      <c r="G118" s="8">
        <f>fact_anuncios[[#This Row],[preco_unit]]*(1-fact_anuncios[[#This Row],[perc_desconto_min]])</f>
        <v>82.958084999999997</v>
      </c>
      <c r="H118" s="8">
        <f>fact_anuncios[[#This Row],[preco_unit]]*fact_anuncios[[#This Row],[quantidade_anuncio]]</f>
        <v>87.324299999999994</v>
      </c>
      <c r="I118" s="1">
        <v>0.05</v>
      </c>
      <c r="J118" s="8">
        <f>fact_anuncios[[#This Row],[preco_min_unit]]*fact_anuncios[[#This Row],[quantidade_anuncio]]</f>
        <v>82.958084999999997</v>
      </c>
      <c r="K118" s="1" t="s">
        <v>18</v>
      </c>
      <c r="L118" s="1">
        <v>0.14000000000000001</v>
      </c>
      <c r="M118" s="9">
        <f>fact_anuncios[[#This Row],[preco_sugerido]]*fact_anuncios[[#This Row],[perc_comissao]]</f>
        <v>17.910530712841254</v>
      </c>
      <c r="N118" s="9">
        <v>19.850000000000001</v>
      </c>
      <c r="O118" s="4">
        <v>0.08</v>
      </c>
      <c r="P118" s="9">
        <f>fact_anuncios[[#This Row],[valor_tipo]]+fact_anuncios[[#This Row],[frete]]</f>
        <v>37.760530712841259</v>
      </c>
      <c r="Q118" s="9">
        <f>(fact_anuncios[[#This Row],[valor_tipo]]+fact_anuncios[[#This Row],[frete]])*(1+fact_anuncios[[#This Row],[markup_promo]])</f>
        <v>40.781373169868566</v>
      </c>
      <c r="R118" s="9">
        <f>((fact_anuncios[[#This Row],[valor_min_produto]] / (1-fact_anuncios[[#This Row],[markup_promo]])) +fact_anuncios[[#This Row],[frete]]) / (1 - fact_anuncios[[#This Row],[perc_comissao]])</f>
        <v>127.93236223458038</v>
      </c>
      <c r="S118" s="9">
        <f>(fact_anuncios[[#This Row],[valor_min_produto]] + fact_anuncios[[#This Row],[frete]]) / (1 - fact_anuncios[[#This Row],[perc_comissao]])</f>
        <v>119.54428488372093</v>
      </c>
      <c r="T118" s="9">
        <f>fact_anuncios[[#This Row],[atacado_1]] * 1.0254</f>
        <v>122.58070971976746</v>
      </c>
      <c r="U118" s="1" t="s">
        <v>20</v>
      </c>
    </row>
    <row r="119" spans="1:21" x14ac:dyDescent="0.3">
      <c r="A119" s="1">
        <v>1062</v>
      </c>
      <c r="B119" s="2" t="s">
        <v>183</v>
      </c>
      <c r="C119" s="2" t="s">
        <v>465</v>
      </c>
      <c r="D119" s="6" t="s">
        <v>540</v>
      </c>
      <c r="E119" s="1">
        <v>1</v>
      </c>
      <c r="F119" s="8">
        <v>428.17270000000002</v>
      </c>
      <c r="G119" s="8">
        <f>fact_anuncios[[#This Row],[preco_unit]]*(1-fact_anuncios[[#This Row],[perc_desconto_min]])</f>
        <v>391.77802050000003</v>
      </c>
      <c r="H119" s="8">
        <f>fact_anuncios[[#This Row],[preco_unit]]*fact_anuncios[[#This Row],[quantidade_anuncio]]</f>
        <v>428.17270000000002</v>
      </c>
      <c r="I119" s="1">
        <v>8.5000000000000006E-2</v>
      </c>
      <c r="J119" s="8">
        <f>fact_anuncios[[#This Row],[preco_min_unit]]*fact_anuncios[[#This Row],[quantidade_anuncio]]</f>
        <v>391.77802050000003</v>
      </c>
      <c r="K119" s="1" t="s">
        <v>18</v>
      </c>
      <c r="L119" s="1">
        <v>0.14000000000000001</v>
      </c>
      <c r="M119" s="9">
        <f>fact_anuncios[[#This Row],[preco_sugerido]]*fact_anuncios[[#This Row],[perc_comissao]]</f>
        <v>73.336505144084938</v>
      </c>
      <c r="N119" s="9">
        <v>24.65</v>
      </c>
      <c r="O119" s="4">
        <v>0.08</v>
      </c>
      <c r="P119" s="9">
        <f>fact_anuncios[[#This Row],[valor_tipo]]+fact_anuncios[[#This Row],[frete]]</f>
        <v>97.98650514408493</v>
      </c>
      <c r="Q119" s="9">
        <f>(fact_anuncios[[#This Row],[valor_tipo]]+fact_anuncios[[#This Row],[frete]])*(1+fact_anuncios[[#This Row],[markup_promo]])</f>
        <v>105.82542555561173</v>
      </c>
      <c r="R119" s="9">
        <f>((fact_anuncios[[#This Row],[valor_min_produto]] / (1-fact_anuncios[[#This Row],[markup_promo]])) +fact_anuncios[[#This Row],[frete]]) / (1 - fact_anuncios[[#This Row],[perc_comissao]])</f>
        <v>523.83217960060665</v>
      </c>
      <c r="S119" s="9">
        <f>(fact_anuncios[[#This Row],[valor_min_produto]] + fact_anuncios[[#This Row],[frete]]) / (1 - fact_anuncios[[#This Row],[perc_comissao]])</f>
        <v>484.21862848837208</v>
      </c>
      <c r="T119" s="9">
        <f>fact_anuncios[[#This Row],[atacado_1]] * 1.0254</f>
        <v>496.51778165197675</v>
      </c>
      <c r="U119" s="1" t="s">
        <v>22</v>
      </c>
    </row>
    <row r="120" spans="1:21" x14ac:dyDescent="0.3">
      <c r="A120" s="1">
        <v>1063</v>
      </c>
      <c r="B120" s="2" t="s">
        <v>291</v>
      </c>
      <c r="C120" s="2" t="s">
        <v>311</v>
      </c>
      <c r="D120" s="6" t="s">
        <v>541</v>
      </c>
      <c r="E120" s="1">
        <v>1</v>
      </c>
      <c r="F120" s="8">
        <v>10199.4</v>
      </c>
      <c r="G120" s="8">
        <f>fact_anuncios[[#This Row],[preco_unit]]*(1-fact_anuncios[[#This Row],[perc_desconto_min]])</f>
        <v>10198.38006</v>
      </c>
      <c r="H120" s="8">
        <f>fact_anuncios[[#This Row],[preco_unit]]*fact_anuncios[[#This Row],[quantidade_anuncio]]</f>
        <v>10199.4</v>
      </c>
      <c r="I120" s="1">
        <v>1E-4</v>
      </c>
      <c r="J120" s="8">
        <f>fact_anuncios[[#This Row],[preco_min_unit]]*fact_anuncios[[#This Row],[quantidade_anuncio]]</f>
        <v>10198.38006</v>
      </c>
      <c r="K120" s="1" t="s">
        <v>18</v>
      </c>
      <c r="L120" s="1">
        <v>0.17</v>
      </c>
      <c r="M120" s="9">
        <f>fact_anuncios[[#This Row],[preco_sugerido]]*fact_anuncios[[#This Row],[perc_comissao]]</f>
        <v>2292.3876770560501</v>
      </c>
      <c r="N120" s="9">
        <v>107.05</v>
      </c>
      <c r="O120" s="4">
        <v>0.08</v>
      </c>
      <c r="P120" s="9">
        <f>fact_anuncios[[#This Row],[valor_tipo]]+fact_anuncios[[#This Row],[frete]]</f>
        <v>2399.4376770560502</v>
      </c>
      <c r="Q120" s="9">
        <f>(fact_anuncios[[#This Row],[valor_tipo]]+fact_anuncios[[#This Row],[frete]])*(1+fact_anuncios[[#This Row],[markup_promo]])</f>
        <v>2591.3926912205343</v>
      </c>
      <c r="R120" s="9">
        <f>((fact_anuncios[[#This Row],[valor_min_produto]] / (1-fact_anuncios[[#This Row],[markup_promo]])) +fact_anuncios[[#This Row],[frete]]) / (1 - fact_anuncios[[#This Row],[perc_comissao]])</f>
        <v>13484.633394447354</v>
      </c>
      <c r="S120" s="9">
        <f>(fact_anuncios[[#This Row],[valor_min_produto]] + fact_anuncios[[#This Row],[frete]]) / (1 - fact_anuncios[[#This Row],[perc_comissao]])</f>
        <v>12416.180795180722</v>
      </c>
      <c r="T120" s="9">
        <f>fact_anuncios[[#This Row],[atacado_1]] * 1.0254</f>
        <v>12731.551787378314</v>
      </c>
      <c r="U120" s="1" t="s">
        <v>6</v>
      </c>
    </row>
    <row r="121" spans="1:21" x14ac:dyDescent="0.3">
      <c r="A121" s="1">
        <v>1064</v>
      </c>
      <c r="B121" s="2" t="s">
        <v>182</v>
      </c>
      <c r="C121" s="2" t="s">
        <v>312</v>
      </c>
      <c r="D121" s="6" t="s">
        <v>540</v>
      </c>
      <c r="E121" s="1">
        <v>1</v>
      </c>
      <c r="F121" s="8">
        <v>374.61090000000002</v>
      </c>
      <c r="G121" s="8">
        <f>fact_anuncios[[#This Row],[preco_unit]]*(1-fact_anuncios[[#This Row],[perc_desconto_min]])</f>
        <v>342.76897350000002</v>
      </c>
      <c r="H121" s="8">
        <f>fact_anuncios[[#This Row],[preco_unit]]*fact_anuncios[[#This Row],[quantidade_anuncio]]</f>
        <v>374.61090000000002</v>
      </c>
      <c r="I121" s="1">
        <v>8.5000000000000006E-2</v>
      </c>
      <c r="J121" s="8">
        <f>fact_anuncios[[#This Row],[preco_min_unit]]*fact_anuncios[[#This Row],[quantidade_anuncio]]</f>
        <v>342.76897350000002</v>
      </c>
      <c r="K121" s="1" t="s">
        <v>18</v>
      </c>
      <c r="L121" s="1">
        <v>0.14000000000000001</v>
      </c>
      <c r="M121" s="9">
        <f>fact_anuncios[[#This Row],[preco_sugerido]]*fact_anuncios[[#This Row],[perc_comissao]]</f>
        <v>64.664530194641046</v>
      </c>
      <c r="N121" s="9">
        <v>24.65</v>
      </c>
      <c r="O121" s="4">
        <v>0.08</v>
      </c>
      <c r="P121" s="9">
        <f>fact_anuncios[[#This Row],[valor_tipo]]+fact_anuncios[[#This Row],[frete]]</f>
        <v>89.314530194641037</v>
      </c>
      <c r="Q121" s="9">
        <f>(fact_anuncios[[#This Row],[valor_tipo]]+fact_anuncios[[#This Row],[frete]])*(1+fact_anuncios[[#This Row],[markup_promo]])</f>
        <v>96.459692610212329</v>
      </c>
      <c r="R121" s="9">
        <f>((fact_anuncios[[#This Row],[valor_min_produto]] / (1-fact_anuncios[[#This Row],[markup_promo]])) +fact_anuncios[[#This Row],[frete]]) / (1 - fact_anuncios[[#This Row],[perc_comissao]])</f>
        <v>461.88950139029316</v>
      </c>
      <c r="S121" s="9">
        <f>(fact_anuncios[[#This Row],[valor_min_produto]] + fact_anuncios[[#This Row],[frete]]) / (1 - fact_anuncios[[#This Row],[perc_comissao]])</f>
        <v>427.23136453488371</v>
      </c>
      <c r="T121" s="9">
        <f>fact_anuncios[[#This Row],[atacado_1]] * 1.0254</f>
        <v>438.08304119406978</v>
      </c>
      <c r="U121" s="1" t="s">
        <v>22</v>
      </c>
    </row>
    <row r="122" spans="1:21" x14ac:dyDescent="0.3">
      <c r="A122" s="1">
        <v>1065</v>
      </c>
      <c r="B122" s="2" t="s">
        <v>138</v>
      </c>
      <c r="C122" s="2" t="s">
        <v>389</v>
      </c>
      <c r="D122" s="6" t="s">
        <v>504</v>
      </c>
      <c r="E122" s="1">
        <v>25</v>
      </c>
      <c r="F122" s="8">
        <v>11.085000000000001</v>
      </c>
      <c r="G122" s="8">
        <f>fact_anuncios[[#This Row],[preco_unit]]*(1-fact_anuncios[[#This Row],[perc_desconto_min]])</f>
        <v>10.530750000000001</v>
      </c>
      <c r="H122" s="8">
        <f>fact_anuncios[[#This Row],[preco_unit]]*fact_anuncios[[#This Row],[quantidade_anuncio]]</f>
        <v>277.125</v>
      </c>
      <c r="I122" s="1">
        <v>0.05</v>
      </c>
      <c r="J122" s="8">
        <f>fact_anuncios[[#This Row],[preco_min_unit]]*fact_anuncios[[#This Row],[quantidade_anuncio]]</f>
        <v>263.26875000000001</v>
      </c>
      <c r="K122" s="1" t="s">
        <v>18</v>
      </c>
      <c r="L122" s="1">
        <v>0.14000000000000001</v>
      </c>
      <c r="M122" s="9">
        <f>fact_anuncios[[#This Row],[preco_sugerido]]*fact_anuncios[[#This Row],[perc_comissao]]</f>
        <v>50.434460313447929</v>
      </c>
      <c r="N122" s="9">
        <v>23.65</v>
      </c>
      <c r="O122" s="4">
        <v>0.08</v>
      </c>
      <c r="P122" s="9">
        <f>fact_anuncios[[#This Row],[valor_tipo]]+fact_anuncios[[#This Row],[frete]]</f>
        <v>74.08446031344792</v>
      </c>
      <c r="Q122" s="9">
        <f>(fact_anuncios[[#This Row],[valor_tipo]]+fact_anuncios[[#This Row],[frete]])*(1+fact_anuncios[[#This Row],[markup_promo]])</f>
        <v>80.011217138523762</v>
      </c>
      <c r="R122" s="9">
        <f>((fact_anuncios[[#This Row],[valor_min_produto]] / (1-fact_anuncios[[#This Row],[markup_promo]])) +fact_anuncios[[#This Row],[frete]]) / (1 - fact_anuncios[[#This Row],[perc_comissao]])</f>
        <v>360.24614509605658</v>
      </c>
      <c r="S122" s="9">
        <f>(fact_anuncios[[#This Row],[valor_min_produto]] + fact_anuncios[[#This Row],[frete]]) / (1 - fact_anuncios[[#This Row],[perc_comissao]])</f>
        <v>333.62645348837208</v>
      </c>
      <c r="T122" s="9">
        <f>fact_anuncios[[#This Row],[atacado_1]] * 1.0254</f>
        <v>342.10056540697678</v>
      </c>
      <c r="U122" s="1" t="s">
        <v>4</v>
      </c>
    </row>
    <row r="123" spans="1:21" x14ac:dyDescent="0.3">
      <c r="A123" s="1">
        <v>1065</v>
      </c>
      <c r="B123" s="2" t="s">
        <v>139</v>
      </c>
      <c r="C123" s="2" t="s">
        <v>390</v>
      </c>
      <c r="D123" s="6" t="s">
        <v>504</v>
      </c>
      <c r="E123" s="1">
        <v>10</v>
      </c>
      <c r="F123" s="8">
        <v>11.085000000000001</v>
      </c>
      <c r="G123" s="8">
        <f>fact_anuncios[[#This Row],[preco_unit]]*(1-fact_anuncios[[#This Row],[perc_desconto_min]])</f>
        <v>10.530750000000001</v>
      </c>
      <c r="H123" s="8">
        <f>fact_anuncios[[#This Row],[preco_unit]]*fact_anuncios[[#This Row],[quantidade_anuncio]]</f>
        <v>110.85000000000001</v>
      </c>
      <c r="I123" s="1">
        <v>0.05</v>
      </c>
      <c r="J123" s="8">
        <f>fact_anuncios[[#This Row],[preco_min_unit]]*fact_anuncios[[#This Row],[quantidade_anuncio]]</f>
        <v>105.3075</v>
      </c>
      <c r="K123" s="1" t="s">
        <v>18</v>
      </c>
      <c r="L123" s="1">
        <v>0.14000000000000001</v>
      </c>
      <c r="M123" s="9">
        <f>fact_anuncios[[#This Row],[preco_sugerido]]*fact_anuncios[[#This Row],[perc_comissao]]</f>
        <v>21.865179474216383</v>
      </c>
      <c r="N123" s="9">
        <v>19.850000000000001</v>
      </c>
      <c r="O123" s="4">
        <v>0.08</v>
      </c>
      <c r="P123" s="9">
        <f>fact_anuncios[[#This Row],[valor_tipo]]+fact_anuncios[[#This Row],[frete]]</f>
        <v>41.715179474216384</v>
      </c>
      <c r="Q123" s="9">
        <f>(fact_anuncios[[#This Row],[valor_tipo]]+fact_anuncios[[#This Row],[frete]])*(1+fact_anuncios[[#This Row],[markup_promo]])</f>
        <v>45.052393832153697</v>
      </c>
      <c r="R123" s="9">
        <f>((fact_anuncios[[#This Row],[valor_min_produto]] / (1-fact_anuncios[[#This Row],[markup_promo]])) +fact_anuncios[[#This Row],[frete]]) / (1 - fact_anuncios[[#This Row],[perc_comissao]])</f>
        <v>156.17985338725987</v>
      </c>
      <c r="S123" s="9">
        <f>(fact_anuncios[[#This Row],[valor_min_produto]] + fact_anuncios[[#This Row],[frete]]) / (1 - fact_anuncios[[#This Row],[perc_comissao]])</f>
        <v>145.53197674418604</v>
      </c>
      <c r="T123" s="9">
        <f>fact_anuncios[[#This Row],[atacado_1]] * 1.0254</f>
        <v>149.22848895348838</v>
      </c>
      <c r="U123" s="1" t="s">
        <v>4</v>
      </c>
    </row>
    <row r="124" spans="1:21" x14ac:dyDescent="0.3">
      <c r="A124" s="1">
        <v>1065</v>
      </c>
      <c r="B124" s="2" t="s">
        <v>140</v>
      </c>
      <c r="C124" s="2" t="s">
        <v>391</v>
      </c>
      <c r="D124" s="6" t="s">
        <v>504</v>
      </c>
      <c r="E124" s="1">
        <v>25</v>
      </c>
      <c r="F124" s="8">
        <v>11.085000000000001</v>
      </c>
      <c r="G124" s="8">
        <f>fact_anuncios[[#This Row],[preco_unit]]*(1-fact_anuncios[[#This Row],[perc_desconto_min]])</f>
        <v>10.530750000000001</v>
      </c>
      <c r="H124" s="8">
        <f>fact_anuncios[[#This Row],[preco_unit]]*fact_anuncios[[#This Row],[quantidade_anuncio]]</f>
        <v>277.125</v>
      </c>
      <c r="I124" s="1">
        <v>0.05</v>
      </c>
      <c r="J124" s="8">
        <f>fact_anuncios[[#This Row],[preco_min_unit]]*fact_anuncios[[#This Row],[quantidade_anuncio]]</f>
        <v>263.26875000000001</v>
      </c>
      <c r="K124" s="1" t="s">
        <v>18</v>
      </c>
      <c r="L124" s="1">
        <v>0.14000000000000001</v>
      </c>
      <c r="M124" s="9">
        <f>fact_anuncios[[#This Row],[preco_sugerido]]*fact_anuncios[[#This Row],[perc_comissao]]</f>
        <v>50.434460313447929</v>
      </c>
      <c r="N124" s="9">
        <v>23.65</v>
      </c>
      <c r="O124" s="4">
        <v>0.08</v>
      </c>
      <c r="P124" s="9">
        <f>fact_anuncios[[#This Row],[valor_tipo]]+fact_anuncios[[#This Row],[frete]]</f>
        <v>74.08446031344792</v>
      </c>
      <c r="Q124" s="9">
        <f>(fact_anuncios[[#This Row],[valor_tipo]]+fact_anuncios[[#This Row],[frete]])*(1+fact_anuncios[[#This Row],[markup_promo]])</f>
        <v>80.011217138523762</v>
      </c>
      <c r="R124" s="9">
        <f>((fact_anuncios[[#This Row],[valor_min_produto]] / (1-fact_anuncios[[#This Row],[markup_promo]])) +fact_anuncios[[#This Row],[frete]]) / (1 - fact_anuncios[[#This Row],[perc_comissao]])</f>
        <v>360.24614509605658</v>
      </c>
      <c r="S124" s="9">
        <f>(fact_anuncios[[#This Row],[valor_min_produto]] + fact_anuncios[[#This Row],[frete]]) / (1 - fact_anuncios[[#This Row],[perc_comissao]])</f>
        <v>333.62645348837208</v>
      </c>
      <c r="T124" s="9">
        <f>fact_anuncios[[#This Row],[atacado_1]] * 1.0254</f>
        <v>342.10056540697678</v>
      </c>
      <c r="U124" s="1" t="s">
        <v>4</v>
      </c>
    </row>
    <row r="125" spans="1:21" x14ac:dyDescent="0.3">
      <c r="A125" s="1">
        <v>1065</v>
      </c>
      <c r="B125" s="2" t="s">
        <v>141</v>
      </c>
      <c r="C125" s="2" t="s">
        <v>392</v>
      </c>
      <c r="D125" s="6" t="s">
        <v>504</v>
      </c>
      <c r="E125" s="1">
        <v>100</v>
      </c>
      <c r="F125" s="8">
        <v>11.085000000000001</v>
      </c>
      <c r="G125" s="8">
        <f>fact_anuncios[[#This Row],[preco_unit]]*(1-fact_anuncios[[#This Row],[perc_desconto_min]])</f>
        <v>10.530750000000001</v>
      </c>
      <c r="H125" s="8">
        <f>fact_anuncios[[#This Row],[preco_unit]]*fact_anuncios[[#This Row],[quantidade_anuncio]]</f>
        <v>1108.5</v>
      </c>
      <c r="I125" s="1">
        <v>0.05</v>
      </c>
      <c r="J125" s="8">
        <f>fact_anuncios[[#This Row],[preco_min_unit]]*fact_anuncios[[#This Row],[quantidade_anuncio]]</f>
        <v>1053.075</v>
      </c>
      <c r="K125" s="1" t="s">
        <v>18</v>
      </c>
      <c r="L125" s="1">
        <v>0.17</v>
      </c>
      <c r="M125" s="9">
        <f>fact_anuncios[[#This Row],[preco_sugerido]]*fact_anuncios[[#This Row],[perc_comissao]]</f>
        <v>239.28969355683606</v>
      </c>
      <c r="N125" s="9">
        <v>23.65</v>
      </c>
      <c r="O125" s="4">
        <v>0.08</v>
      </c>
      <c r="P125" s="9">
        <f>fact_anuncios[[#This Row],[valor_tipo]]+fact_anuncios[[#This Row],[frete]]</f>
        <v>262.93969355683606</v>
      </c>
      <c r="Q125" s="9">
        <f>(fact_anuncios[[#This Row],[valor_tipo]]+fact_anuncios[[#This Row],[frete]])*(1+fact_anuncios[[#This Row],[markup_promo]])</f>
        <v>283.97486904138299</v>
      </c>
      <c r="R125" s="9">
        <f>((fact_anuncios[[#This Row],[valor_min_produto]] / (1-fact_anuncios[[#This Row],[markup_promo]])) +fact_anuncios[[#This Row],[frete]]) / (1 - fact_anuncios[[#This Row],[perc_comissao]])</f>
        <v>1407.5864326872709</v>
      </c>
      <c r="S125" s="9">
        <f>(fact_anuncios[[#This Row],[valor_min_produto]] + fact_anuncios[[#This Row],[frete]]) / (1 - fact_anuncios[[#This Row],[perc_comissao]])</f>
        <v>1297.2590361445784</v>
      </c>
      <c r="T125" s="9">
        <f>fact_anuncios[[#This Row],[atacado_1]] * 1.0254</f>
        <v>1330.2094156626508</v>
      </c>
      <c r="U125" s="1" t="s">
        <v>4</v>
      </c>
    </row>
    <row r="126" spans="1:21" x14ac:dyDescent="0.3">
      <c r="A126" s="1">
        <v>1065</v>
      </c>
      <c r="B126" s="2" t="s">
        <v>142</v>
      </c>
      <c r="C126" s="2" t="s">
        <v>393</v>
      </c>
      <c r="D126" s="6" t="s">
        <v>504</v>
      </c>
      <c r="E126" s="1">
        <v>10</v>
      </c>
      <c r="F126" s="8">
        <v>11.085000000000001</v>
      </c>
      <c r="G126" s="8">
        <f>fact_anuncios[[#This Row],[preco_unit]]*(1-fact_anuncios[[#This Row],[perc_desconto_min]])</f>
        <v>10.530750000000001</v>
      </c>
      <c r="H126" s="8">
        <f>fact_anuncios[[#This Row],[preco_unit]]*fact_anuncios[[#This Row],[quantidade_anuncio]]</f>
        <v>110.85000000000001</v>
      </c>
      <c r="I126" s="1">
        <v>0.05</v>
      </c>
      <c r="J126" s="8">
        <f>fact_anuncios[[#This Row],[preco_min_unit]]*fact_anuncios[[#This Row],[quantidade_anuncio]]</f>
        <v>105.3075</v>
      </c>
      <c r="K126" s="1" t="s">
        <v>18</v>
      </c>
      <c r="L126" s="1">
        <v>0.14000000000000001</v>
      </c>
      <c r="M126" s="9">
        <f>fact_anuncios[[#This Row],[preco_sugerido]]*fact_anuncios[[#This Row],[perc_comissao]]</f>
        <v>21.865179474216383</v>
      </c>
      <c r="N126" s="9">
        <v>19.850000000000001</v>
      </c>
      <c r="O126" s="4">
        <v>0.08</v>
      </c>
      <c r="P126" s="9">
        <f>fact_anuncios[[#This Row],[valor_tipo]]+fact_anuncios[[#This Row],[frete]]</f>
        <v>41.715179474216384</v>
      </c>
      <c r="Q126" s="9">
        <f>(fact_anuncios[[#This Row],[valor_tipo]]+fact_anuncios[[#This Row],[frete]])*(1+fact_anuncios[[#This Row],[markup_promo]])</f>
        <v>45.052393832153697</v>
      </c>
      <c r="R126" s="9">
        <f>((fact_anuncios[[#This Row],[valor_min_produto]] / (1-fact_anuncios[[#This Row],[markup_promo]])) +fact_anuncios[[#This Row],[frete]]) / (1 - fact_anuncios[[#This Row],[perc_comissao]])</f>
        <v>156.17985338725987</v>
      </c>
      <c r="S126" s="9">
        <f>(fact_anuncios[[#This Row],[valor_min_produto]] + fact_anuncios[[#This Row],[frete]]) / (1 - fact_anuncios[[#This Row],[perc_comissao]])</f>
        <v>145.53197674418604</v>
      </c>
      <c r="T126" s="9">
        <f>fact_anuncios[[#This Row],[atacado_1]] * 1.0254</f>
        <v>149.22848895348838</v>
      </c>
      <c r="U126" s="1" t="s">
        <v>4</v>
      </c>
    </row>
    <row r="127" spans="1:21" x14ac:dyDescent="0.3">
      <c r="A127" s="1">
        <v>1066</v>
      </c>
      <c r="B127" s="2" t="s">
        <v>299</v>
      </c>
      <c r="C127" s="2" t="s">
        <v>466</v>
      </c>
      <c r="D127" s="6" t="s">
        <v>505</v>
      </c>
      <c r="E127" s="1">
        <v>1</v>
      </c>
      <c r="F127" s="8">
        <v>795.03840000000002</v>
      </c>
      <c r="G127" s="8">
        <f>fact_anuncios[[#This Row],[preco_unit]]*(1-fact_anuncios[[#This Row],[perc_desconto_min]])</f>
        <v>715.53456000000006</v>
      </c>
      <c r="H127" s="8">
        <f>fact_anuncios[[#This Row],[preco_unit]]*fact_anuncios[[#This Row],[quantidade_anuncio]]</f>
        <v>795.03840000000002</v>
      </c>
      <c r="I127" s="1">
        <v>0.1</v>
      </c>
      <c r="J127" s="8">
        <f>fact_anuncios[[#This Row],[preco_min_unit]]*fact_anuncios[[#This Row],[quantidade_anuncio]]</f>
        <v>715.53456000000006</v>
      </c>
      <c r="K127" s="1" t="s">
        <v>18</v>
      </c>
      <c r="L127" s="1">
        <v>0.17</v>
      </c>
      <c r="M127" s="9">
        <f>fact_anuncios[[#This Row],[preco_sugerido]]*fact_anuncios[[#This Row],[perc_comissao]]</f>
        <v>168.32149711891043</v>
      </c>
      <c r="N127" s="9">
        <v>44.05</v>
      </c>
      <c r="O127" s="4">
        <v>0.08</v>
      </c>
      <c r="P127" s="9">
        <f>fact_anuncios[[#This Row],[valor_tipo]]+fact_anuncios[[#This Row],[frete]]</f>
        <v>212.37149711891044</v>
      </c>
      <c r="Q127" s="9">
        <f>(fact_anuncios[[#This Row],[valor_tipo]]+fact_anuncios[[#This Row],[frete]])*(1+fact_anuncios[[#This Row],[markup_promo]])</f>
        <v>229.36121688842329</v>
      </c>
      <c r="R127" s="9">
        <f>((fact_anuncios[[#This Row],[valor_min_produto]] / (1-fact_anuncios[[#This Row],[markup_promo]])) +fact_anuncios[[#This Row],[frete]]) / (1 - fact_anuncios[[#This Row],[perc_comissao]])</f>
        <v>990.12645364064952</v>
      </c>
      <c r="S127" s="9">
        <f>(fact_anuncios[[#This Row],[valor_min_produto]] + fact_anuncios[[#This Row],[frete]]) / (1 - fact_anuncios[[#This Row],[perc_comissao]])</f>
        <v>915.16212048192779</v>
      </c>
      <c r="T127" s="9">
        <f>fact_anuncios[[#This Row],[atacado_1]] * 1.0254</f>
        <v>938.40723834216885</v>
      </c>
      <c r="U127" s="1" t="s">
        <v>26</v>
      </c>
    </row>
    <row r="128" spans="1:21" x14ac:dyDescent="0.3">
      <c r="A128" s="1">
        <v>1067</v>
      </c>
      <c r="B128" s="2" t="s">
        <v>236</v>
      </c>
      <c r="C128" s="2" t="s">
        <v>394</v>
      </c>
      <c r="D128" s="6" t="s">
        <v>506</v>
      </c>
      <c r="E128" s="1">
        <v>5</v>
      </c>
      <c r="F128" s="8">
        <v>72.652699999999996</v>
      </c>
      <c r="G128" s="8">
        <f>fact_anuncios[[#This Row],[preco_unit]]*(1-fact_anuncios[[#This Row],[perc_desconto_min]])</f>
        <v>66.840484000000004</v>
      </c>
      <c r="H128" s="8">
        <f>fact_anuncios[[#This Row],[preco_unit]]*fact_anuncios[[#This Row],[quantidade_anuncio]]</f>
        <v>363.26349999999996</v>
      </c>
      <c r="I128" s="1">
        <v>0.08</v>
      </c>
      <c r="J128" s="8">
        <f>fact_anuncios[[#This Row],[preco_min_unit]]*fact_anuncios[[#This Row],[quantidade_anuncio]]</f>
        <v>334.20242000000002</v>
      </c>
      <c r="K128" s="1" t="s">
        <v>18</v>
      </c>
      <c r="L128" s="1">
        <v>0.13500000000000001</v>
      </c>
      <c r="M128" s="9">
        <f>fact_anuncios[[#This Row],[preco_sugerido]]*fact_anuncios[[#This Row],[perc_comissao]]</f>
        <v>61.493436416184977</v>
      </c>
      <c r="N128" s="9">
        <v>30.75</v>
      </c>
      <c r="O128" s="4">
        <v>0.08</v>
      </c>
      <c r="P128" s="9">
        <f>fact_anuncios[[#This Row],[valor_tipo]]+fact_anuncios[[#This Row],[frete]]</f>
        <v>92.243436416184977</v>
      </c>
      <c r="Q128" s="9">
        <f>(fact_anuncios[[#This Row],[valor_tipo]]+fact_anuncios[[#This Row],[frete]])*(1+fact_anuncios[[#This Row],[markup_promo]])</f>
        <v>99.622911329479777</v>
      </c>
      <c r="R128" s="9">
        <f>((fact_anuncios[[#This Row],[valor_min_produto]] / (1-fact_anuncios[[#This Row],[markup_promo]])) +fact_anuncios[[#This Row],[frete]]) / (1 - fact_anuncios[[#This Row],[perc_comissao]])</f>
        <v>455.506936416185</v>
      </c>
      <c r="S128" s="9">
        <f>(fact_anuncios[[#This Row],[valor_min_produto]] + fact_anuncios[[#This Row],[frete]]) / (1 - fact_anuncios[[#This Row],[perc_comissao]])</f>
        <v>421.91031213872833</v>
      </c>
      <c r="T128" s="9">
        <f>fact_anuncios[[#This Row],[atacado_1]] * 1.0254</f>
        <v>432.62683406705207</v>
      </c>
      <c r="U128" s="1" t="s">
        <v>5</v>
      </c>
    </row>
    <row r="129" spans="1:21" x14ac:dyDescent="0.3">
      <c r="A129" s="1">
        <v>1068</v>
      </c>
      <c r="B129" s="2" t="s">
        <v>297</v>
      </c>
      <c r="C129" s="2" t="s">
        <v>467</v>
      </c>
      <c r="D129" s="6" t="s">
        <v>507</v>
      </c>
      <c r="E129" s="1">
        <v>1</v>
      </c>
      <c r="F129" s="8">
        <v>917.25</v>
      </c>
      <c r="G129" s="8">
        <f>fact_anuncios[[#This Row],[preco_unit]]*(1-fact_anuncios[[#This Row],[perc_desconto_min]])</f>
        <v>843.77827499999989</v>
      </c>
      <c r="H129" s="8">
        <f>fact_anuncios[[#This Row],[preco_unit]]*fact_anuncios[[#This Row],[quantidade_anuncio]]</f>
        <v>917.25</v>
      </c>
      <c r="I129" s="1">
        <v>8.0100000000000005E-2</v>
      </c>
      <c r="J129" s="8">
        <f>fact_anuncios[[#This Row],[preco_min_unit]]*fact_anuncios[[#This Row],[quantidade_anuncio]]</f>
        <v>843.77827499999989</v>
      </c>
      <c r="K129" s="1" t="s">
        <v>18</v>
      </c>
      <c r="L129" s="1">
        <v>0.17</v>
      </c>
      <c r="M129" s="9">
        <f>fact_anuncios[[#This Row],[preco_sugerido]]*fact_anuncios[[#This Row],[perc_comissao]]</f>
        <v>193.65668772917758</v>
      </c>
      <c r="N129" s="9">
        <v>28.35</v>
      </c>
      <c r="O129" s="4">
        <v>0.08</v>
      </c>
      <c r="P129" s="9">
        <f>fact_anuncios[[#This Row],[valor_tipo]]+fact_anuncios[[#This Row],[frete]]</f>
        <v>222.00668772917757</v>
      </c>
      <c r="Q129" s="9">
        <f>(fact_anuncios[[#This Row],[valor_tipo]]+fact_anuncios[[#This Row],[frete]])*(1+fact_anuncios[[#This Row],[markup_promo]])</f>
        <v>239.76722274751179</v>
      </c>
      <c r="R129" s="9">
        <f>((fact_anuncios[[#This Row],[valor_min_produto]] / (1-fact_anuncios[[#This Row],[markup_promo]])) +fact_anuncios[[#This Row],[frete]]) / (1 - fact_anuncios[[#This Row],[perc_comissao]])</f>
        <v>1139.156986642221</v>
      </c>
      <c r="S129" s="9">
        <f>(fact_anuncios[[#This Row],[valor_min_produto]] + fact_anuncios[[#This Row],[frete]]) / (1 - fact_anuncios[[#This Row],[perc_comissao]])</f>
        <v>1050.7569578313253</v>
      </c>
      <c r="T129" s="9">
        <f>fact_anuncios[[#This Row],[atacado_1]] * 1.0254</f>
        <v>1077.4461845602411</v>
      </c>
      <c r="U129" s="1" t="s">
        <v>26</v>
      </c>
    </row>
    <row r="130" spans="1:21" x14ac:dyDescent="0.3">
      <c r="A130" s="1">
        <v>1069</v>
      </c>
      <c r="B130" s="2" t="s">
        <v>228</v>
      </c>
      <c r="C130" s="2" t="s">
        <v>395</v>
      </c>
      <c r="D130" s="6" t="s">
        <v>542</v>
      </c>
      <c r="E130" s="1">
        <v>5</v>
      </c>
      <c r="F130" s="8">
        <v>419.37060000000002</v>
      </c>
      <c r="G130" s="8">
        <f>fact_anuncios[[#This Row],[preco_unit]]*(1-fact_anuncios[[#This Row],[perc_desconto_min]])</f>
        <v>388.33717560000002</v>
      </c>
      <c r="H130" s="8">
        <f>fact_anuncios[[#This Row],[preco_unit]]*fact_anuncios[[#This Row],[quantidade_anuncio]]</f>
        <v>2096.8530000000001</v>
      </c>
      <c r="I130" s="1">
        <v>7.3999999999999996E-2</v>
      </c>
      <c r="J130" s="8">
        <f>fact_anuncios[[#This Row],[preco_min_unit]]*fact_anuncios[[#This Row],[quantidade_anuncio]]</f>
        <v>1941.6858780000002</v>
      </c>
      <c r="K130" s="1" t="s">
        <v>18</v>
      </c>
      <c r="L130" s="1">
        <v>0.17</v>
      </c>
      <c r="M130" s="9">
        <f>fact_anuncios[[#This Row],[preco_sugerido]]*fact_anuncios[[#This Row],[perc_comissao]]</f>
        <v>437.12082145102158</v>
      </c>
      <c r="N130" s="9">
        <v>23.65</v>
      </c>
      <c r="O130" s="4">
        <v>0.08</v>
      </c>
      <c r="P130" s="9">
        <f>fact_anuncios[[#This Row],[valor_tipo]]+fact_anuncios[[#This Row],[frete]]</f>
        <v>460.77082145102156</v>
      </c>
      <c r="Q130" s="9">
        <f>(fact_anuncios[[#This Row],[valor_tipo]]+fact_anuncios[[#This Row],[frete]])*(1+fact_anuncios[[#This Row],[markup_promo]])</f>
        <v>497.63248716710331</v>
      </c>
      <c r="R130" s="9">
        <f>((fact_anuncios[[#This Row],[valor_min_produto]] / (1-fact_anuncios[[#This Row],[markup_promo]])) +fact_anuncios[[#This Row],[frete]]) / (1 - fact_anuncios[[#This Row],[perc_comissao]])</f>
        <v>2571.2989497118915</v>
      </c>
      <c r="S130" s="9">
        <f>(fact_anuncios[[#This Row],[valor_min_produto]] + fact_anuncios[[#This Row],[frete]]) / (1 - fact_anuncios[[#This Row],[perc_comissao]])</f>
        <v>2367.8745518072296</v>
      </c>
      <c r="T130" s="9">
        <f>fact_anuncios[[#This Row],[atacado_1]] * 1.0254</f>
        <v>2428.0185654231336</v>
      </c>
      <c r="U130" s="1" t="s">
        <v>7</v>
      </c>
    </row>
    <row r="131" spans="1:21" x14ac:dyDescent="0.3">
      <c r="A131" s="1">
        <v>1069</v>
      </c>
      <c r="B131" s="2" t="s">
        <v>229</v>
      </c>
      <c r="C131" s="2" t="s">
        <v>468</v>
      </c>
      <c r="D131" s="6" t="s">
        <v>542</v>
      </c>
      <c r="E131" s="1">
        <v>1</v>
      </c>
      <c r="F131" s="8">
        <v>419.37060000000002</v>
      </c>
      <c r="G131" s="8">
        <f>fact_anuncios[[#This Row],[preco_unit]]*(1-fact_anuncios[[#This Row],[perc_desconto_min]])</f>
        <v>388.33717560000002</v>
      </c>
      <c r="H131" s="8">
        <f>fact_anuncios[[#This Row],[preco_unit]]*fact_anuncios[[#This Row],[quantidade_anuncio]]</f>
        <v>419.37060000000002</v>
      </c>
      <c r="I131" s="1">
        <v>7.400000000000001E-2</v>
      </c>
      <c r="J131" s="8">
        <f>fact_anuncios[[#This Row],[preco_min_unit]]*fact_anuncios[[#This Row],[quantidade_anuncio]]</f>
        <v>388.33717560000002</v>
      </c>
      <c r="K131" s="1" t="s">
        <v>18</v>
      </c>
      <c r="L131" s="1">
        <v>0.14000000000000001</v>
      </c>
      <c r="M131" s="9">
        <f>fact_anuncios[[#This Row],[preco_sugerido]]*fact_anuncios[[#This Row],[perc_comissao]]</f>
        <v>72.12533440849343</v>
      </c>
      <c r="N131" s="9">
        <v>20.95</v>
      </c>
      <c r="O131" s="4">
        <v>0.08</v>
      </c>
      <c r="P131" s="9">
        <f>fact_anuncios[[#This Row],[valor_tipo]]+fact_anuncios[[#This Row],[frete]]</f>
        <v>93.075334408493433</v>
      </c>
      <c r="Q131" s="9">
        <f>(fact_anuncios[[#This Row],[valor_tipo]]+fact_anuncios[[#This Row],[frete]])*(1+fact_anuncios[[#This Row],[markup_promo]])</f>
        <v>100.52136116117292</v>
      </c>
      <c r="R131" s="9">
        <f>((fact_anuncios[[#This Row],[valor_min_produto]] / (1-fact_anuncios[[#This Row],[markup_promo]])) +fact_anuncios[[#This Row],[frete]]) / (1 - fact_anuncios[[#This Row],[perc_comissao]])</f>
        <v>515.1809600606673</v>
      </c>
      <c r="S131" s="9">
        <f>(fact_anuncios[[#This Row],[valor_min_produto]] + fact_anuncios[[#This Row],[frete]]) / (1 - fact_anuncios[[#This Row],[perc_comissao]])</f>
        <v>475.91532046511628</v>
      </c>
      <c r="T131" s="9">
        <f>fact_anuncios[[#This Row],[atacado_1]] * 1.0254</f>
        <v>488.00356960493025</v>
      </c>
      <c r="U131" s="1" t="s">
        <v>7</v>
      </c>
    </row>
    <row r="132" spans="1:21" x14ac:dyDescent="0.3">
      <c r="A132" s="1">
        <v>1069</v>
      </c>
      <c r="B132" s="2" t="s">
        <v>230</v>
      </c>
      <c r="C132" s="2" t="s">
        <v>396</v>
      </c>
      <c r="D132" s="6" t="s">
        <v>542</v>
      </c>
      <c r="E132" s="1">
        <v>1</v>
      </c>
      <c r="F132" s="8">
        <v>419.37060000000002</v>
      </c>
      <c r="G132" s="8">
        <f>fact_anuncios[[#This Row],[preco_unit]]*(1-fact_anuncios[[#This Row],[perc_desconto_min]])</f>
        <v>388.33717560000002</v>
      </c>
      <c r="H132" s="8">
        <f>fact_anuncios[[#This Row],[preco_unit]]*fact_anuncios[[#This Row],[quantidade_anuncio]]</f>
        <v>419.37060000000002</v>
      </c>
      <c r="I132" s="1">
        <v>7.400000000000001E-2</v>
      </c>
      <c r="J132" s="8">
        <f>fact_anuncios[[#This Row],[preco_min_unit]]*fact_anuncios[[#This Row],[quantidade_anuncio]]</f>
        <v>388.33717560000002</v>
      </c>
      <c r="K132" s="1" t="s">
        <v>18</v>
      </c>
      <c r="L132" s="1">
        <v>0.14000000000000001</v>
      </c>
      <c r="M132" s="9">
        <f>fact_anuncios[[#This Row],[preco_sugerido]]*fact_anuncios[[#This Row],[perc_comissao]]</f>
        <v>72.12533440849343</v>
      </c>
      <c r="N132" s="9">
        <v>20.95</v>
      </c>
      <c r="O132" s="4">
        <v>0.08</v>
      </c>
      <c r="P132" s="9">
        <f>fact_anuncios[[#This Row],[valor_tipo]]+fact_anuncios[[#This Row],[frete]]</f>
        <v>93.075334408493433</v>
      </c>
      <c r="Q132" s="9">
        <f>(fact_anuncios[[#This Row],[valor_tipo]]+fact_anuncios[[#This Row],[frete]])*(1+fact_anuncios[[#This Row],[markup_promo]])</f>
        <v>100.52136116117292</v>
      </c>
      <c r="R132" s="9">
        <f>((fact_anuncios[[#This Row],[valor_min_produto]] / (1-fact_anuncios[[#This Row],[markup_promo]])) +fact_anuncios[[#This Row],[frete]]) / (1 - fact_anuncios[[#This Row],[perc_comissao]])</f>
        <v>515.1809600606673</v>
      </c>
      <c r="S132" s="9">
        <f>(fact_anuncios[[#This Row],[valor_min_produto]] + fact_anuncios[[#This Row],[frete]]) / (1 - fact_anuncios[[#This Row],[perc_comissao]])</f>
        <v>475.91532046511628</v>
      </c>
      <c r="T132" s="9">
        <f>fact_anuncios[[#This Row],[atacado_1]] * 1.0254</f>
        <v>488.00356960493025</v>
      </c>
      <c r="U132" s="1" t="s">
        <v>7</v>
      </c>
    </row>
    <row r="133" spans="1:21" x14ac:dyDescent="0.3">
      <c r="A133" s="1">
        <v>1070</v>
      </c>
      <c r="B133" s="2" t="s">
        <v>294</v>
      </c>
      <c r="C133" s="2" t="s">
        <v>469</v>
      </c>
      <c r="D133" s="6" t="s">
        <v>508</v>
      </c>
      <c r="E133" s="1">
        <v>1</v>
      </c>
      <c r="F133" s="8">
        <v>1612.3733</v>
      </c>
      <c r="G133" s="8">
        <f>fact_anuncios[[#This Row],[preco_unit]]*(1-fact_anuncios[[#This Row],[perc_desconto_min]])</f>
        <v>1499.507169</v>
      </c>
      <c r="H133" s="8">
        <f>fact_anuncios[[#This Row],[preco_unit]]*fact_anuncios[[#This Row],[quantidade_anuncio]]</f>
        <v>1612.3733</v>
      </c>
      <c r="I133" s="1">
        <v>7.0000000000000007E-2</v>
      </c>
      <c r="J133" s="8">
        <f>fact_anuncios[[#This Row],[preco_min_unit]]*fact_anuncios[[#This Row],[quantidade_anuncio]]</f>
        <v>1499.507169</v>
      </c>
      <c r="K133" s="1" t="s">
        <v>18</v>
      </c>
      <c r="L133" s="1">
        <v>0.17</v>
      </c>
      <c r="M133" s="9">
        <f>fact_anuncios[[#This Row],[preco_sugerido]]*fact_anuncios[[#This Row],[perc_comissao]]</f>
        <v>338.88354993452072</v>
      </c>
      <c r="N133" s="9">
        <v>24.65</v>
      </c>
      <c r="O133" s="4">
        <v>0.08</v>
      </c>
      <c r="P133" s="9">
        <f>fact_anuncios[[#This Row],[valor_tipo]]+fact_anuncios[[#This Row],[frete]]</f>
        <v>363.53354993452069</v>
      </c>
      <c r="Q133" s="9">
        <f>(fact_anuncios[[#This Row],[valor_tipo]]+fact_anuncios[[#This Row],[frete]])*(1+fact_anuncios[[#This Row],[markup_promo]])</f>
        <v>392.61623392928237</v>
      </c>
      <c r="R133" s="9">
        <f>((fact_anuncios[[#This Row],[valor_min_produto]] / (1-fact_anuncios[[#This Row],[markup_promo]])) +fact_anuncios[[#This Row],[frete]]) / (1 - fact_anuncios[[#This Row],[perc_comissao]])</f>
        <v>1993.4326466736511</v>
      </c>
      <c r="S133" s="9">
        <f>(fact_anuncios[[#This Row],[valor_min_produto]] + fact_anuncios[[#This Row],[frete]]) / (1 - fact_anuncios[[#This Row],[perc_comissao]])</f>
        <v>1836.333938554217</v>
      </c>
      <c r="T133" s="9">
        <f>fact_anuncios[[#This Row],[atacado_1]] * 1.0254</f>
        <v>1882.9768205934943</v>
      </c>
      <c r="U133" s="1" t="s">
        <v>22</v>
      </c>
    </row>
    <row r="134" spans="1:21" x14ac:dyDescent="0.3">
      <c r="A134" s="1">
        <v>1072</v>
      </c>
      <c r="B134" s="2" t="s">
        <v>269</v>
      </c>
      <c r="C134" s="2" t="s">
        <v>397</v>
      </c>
      <c r="D134" s="6" t="s">
        <v>509</v>
      </c>
      <c r="E134" s="1">
        <v>10</v>
      </c>
      <c r="F134" s="8">
        <v>9.9960000000000004</v>
      </c>
      <c r="G134" s="8">
        <f>fact_anuncios[[#This Row],[preco_unit]]*(1-fact_anuncios[[#This Row],[perc_desconto_min]])</f>
        <v>9.1463400000000004</v>
      </c>
      <c r="H134" s="8">
        <f>fact_anuncios[[#This Row],[preco_unit]]*fact_anuncios[[#This Row],[quantidade_anuncio]]</f>
        <v>99.960000000000008</v>
      </c>
      <c r="I134" s="1">
        <v>8.5000000000000006E-2</v>
      </c>
      <c r="J134" s="8">
        <f>fact_anuncios[[#This Row],[preco_min_unit]]*fact_anuncios[[#This Row],[quantidade_anuncio]]</f>
        <v>91.463400000000007</v>
      </c>
      <c r="K134" s="1" t="s">
        <v>19</v>
      </c>
      <c r="L134" s="1">
        <v>0.12</v>
      </c>
      <c r="M134" s="9">
        <f>fact_anuncios[[#This Row],[preco_sugerido]]*fact_anuncios[[#This Row],[perc_comissao]]</f>
        <v>16.0727371541502</v>
      </c>
      <c r="N134" s="9">
        <v>18.45</v>
      </c>
      <c r="O134" s="4">
        <v>0.08</v>
      </c>
      <c r="P134" s="9">
        <f>fact_anuncios[[#This Row],[valor_tipo]]+fact_anuncios[[#This Row],[frete]]</f>
        <v>34.5227371541502</v>
      </c>
      <c r="Q134" s="9">
        <f>(fact_anuncios[[#This Row],[valor_tipo]]+fact_anuncios[[#This Row],[frete]])*(1+fact_anuncios[[#This Row],[markup_promo]])</f>
        <v>37.284556126482215</v>
      </c>
      <c r="R134" s="9">
        <f>((fact_anuncios[[#This Row],[valor_min_produto]] / (1-fact_anuncios[[#This Row],[markup_promo]])) +fact_anuncios[[#This Row],[frete]]) / (1 - fact_anuncios[[#This Row],[perc_comissao]])</f>
        <v>133.939476284585</v>
      </c>
      <c r="S134" s="9">
        <f>(fact_anuncios[[#This Row],[valor_min_produto]] + fact_anuncios[[#This Row],[frete]]) / (1 - fact_anuncios[[#This Row],[perc_comissao]])</f>
        <v>124.90159090909091</v>
      </c>
      <c r="T134" s="9">
        <f>fact_anuncios[[#This Row],[atacado_1]] * 1.0254</f>
        <v>128.07409131818184</v>
      </c>
      <c r="U134" s="1" t="s">
        <v>4</v>
      </c>
    </row>
    <row r="135" spans="1:21" x14ac:dyDescent="0.3">
      <c r="A135" s="1">
        <v>1072</v>
      </c>
      <c r="B135" s="2" t="s">
        <v>270</v>
      </c>
      <c r="C135" s="2" t="s">
        <v>398</v>
      </c>
      <c r="D135" s="6" t="s">
        <v>509</v>
      </c>
      <c r="E135" s="1">
        <v>10</v>
      </c>
      <c r="F135" s="8">
        <v>9.9960000000000004</v>
      </c>
      <c r="G135" s="8">
        <f>fact_anuncios[[#This Row],[preco_unit]]*(1-fact_anuncios[[#This Row],[perc_desconto_min]])</f>
        <v>9.1463400000000004</v>
      </c>
      <c r="H135" s="8">
        <f>fact_anuncios[[#This Row],[preco_unit]]*fact_anuncios[[#This Row],[quantidade_anuncio]]</f>
        <v>99.960000000000008</v>
      </c>
      <c r="I135" s="1">
        <v>8.5000000000000006E-2</v>
      </c>
      <c r="J135" s="8">
        <f>fact_anuncios[[#This Row],[preco_min_unit]]*fact_anuncios[[#This Row],[quantidade_anuncio]]</f>
        <v>91.463400000000007</v>
      </c>
      <c r="K135" s="1" t="s">
        <v>19</v>
      </c>
      <c r="L135" s="1">
        <v>0.12</v>
      </c>
      <c r="M135" s="9">
        <f>fact_anuncios[[#This Row],[preco_sugerido]]*fact_anuncios[[#This Row],[perc_comissao]]</f>
        <v>16.0727371541502</v>
      </c>
      <c r="N135" s="9">
        <v>18.45</v>
      </c>
      <c r="O135" s="4">
        <v>0.08</v>
      </c>
      <c r="P135" s="9">
        <f>fact_anuncios[[#This Row],[valor_tipo]]+fact_anuncios[[#This Row],[frete]]</f>
        <v>34.5227371541502</v>
      </c>
      <c r="Q135" s="9">
        <f>(fact_anuncios[[#This Row],[valor_tipo]]+fact_anuncios[[#This Row],[frete]])*(1+fact_anuncios[[#This Row],[markup_promo]])</f>
        <v>37.284556126482215</v>
      </c>
      <c r="R135" s="9">
        <f>((fact_anuncios[[#This Row],[valor_min_produto]] / (1-fact_anuncios[[#This Row],[markup_promo]])) +fact_anuncios[[#This Row],[frete]]) / (1 - fact_anuncios[[#This Row],[perc_comissao]])</f>
        <v>133.939476284585</v>
      </c>
      <c r="S135" s="9">
        <f>(fact_anuncios[[#This Row],[valor_min_produto]] + fact_anuncios[[#This Row],[frete]]) / (1 - fact_anuncios[[#This Row],[perc_comissao]])</f>
        <v>124.90159090909091</v>
      </c>
      <c r="T135" s="9">
        <f>fact_anuncios[[#This Row],[atacado_1]] * 1.0254</f>
        <v>128.07409131818184</v>
      </c>
      <c r="U135" s="1" t="s">
        <v>4</v>
      </c>
    </row>
    <row r="136" spans="1:21" x14ac:dyDescent="0.3">
      <c r="A136" s="1">
        <v>1072</v>
      </c>
      <c r="B136" s="2" t="s">
        <v>271</v>
      </c>
      <c r="C136" s="2" t="s">
        <v>399</v>
      </c>
      <c r="D136" s="6" t="s">
        <v>509</v>
      </c>
      <c r="E136" s="1">
        <v>10</v>
      </c>
      <c r="F136" s="8">
        <v>9.9960000000000004</v>
      </c>
      <c r="G136" s="8">
        <f>fact_anuncios[[#This Row],[preco_unit]]*(1-fact_anuncios[[#This Row],[perc_desconto_min]])</f>
        <v>9.1463400000000004</v>
      </c>
      <c r="H136" s="8">
        <f>fact_anuncios[[#This Row],[preco_unit]]*fact_anuncios[[#This Row],[quantidade_anuncio]]</f>
        <v>99.960000000000008</v>
      </c>
      <c r="I136" s="1">
        <v>8.5000000000000006E-2</v>
      </c>
      <c r="J136" s="8">
        <f>fact_anuncios[[#This Row],[preco_min_unit]]*fact_anuncios[[#This Row],[quantidade_anuncio]]</f>
        <v>91.463400000000007</v>
      </c>
      <c r="K136" s="1" t="s">
        <v>18</v>
      </c>
      <c r="L136" s="1">
        <v>0.17</v>
      </c>
      <c r="M136" s="9">
        <f>fact_anuncios[[#This Row],[preco_sugerido]]*fact_anuncios[[#This Row],[perc_comissao]]</f>
        <v>24.612464641173396</v>
      </c>
      <c r="N136" s="9">
        <v>20.75</v>
      </c>
      <c r="O136" s="4">
        <v>0.08</v>
      </c>
      <c r="P136" s="9">
        <f>fact_anuncios[[#This Row],[valor_tipo]]+fact_anuncios[[#This Row],[frete]]</f>
        <v>45.362464641173396</v>
      </c>
      <c r="Q136" s="9">
        <f>(fact_anuncios[[#This Row],[valor_tipo]]+fact_anuncios[[#This Row],[frete]])*(1+fact_anuncios[[#This Row],[markup_promo]])</f>
        <v>48.991461812467271</v>
      </c>
      <c r="R136" s="9">
        <f>((fact_anuncios[[#This Row],[valor_min_produto]] / (1-fact_anuncios[[#This Row],[markup_promo]])) +fact_anuncios[[#This Row],[frete]]) / (1 - fact_anuncios[[#This Row],[perc_comissao]])</f>
        <v>144.77920377160819</v>
      </c>
      <c r="S136" s="9">
        <f>(fact_anuncios[[#This Row],[valor_min_produto]] + fact_anuncios[[#This Row],[frete]]) / (1 - fact_anuncios[[#This Row],[perc_comissao]])</f>
        <v>135.19686746987952</v>
      </c>
      <c r="T136" s="9">
        <f>fact_anuncios[[#This Row],[atacado_1]] * 1.0254</f>
        <v>138.63086790361447</v>
      </c>
      <c r="U136" s="1" t="s">
        <v>4</v>
      </c>
    </row>
    <row r="137" spans="1:21" x14ac:dyDescent="0.3">
      <c r="A137" s="1">
        <v>1072</v>
      </c>
      <c r="B137" s="2" t="s">
        <v>272</v>
      </c>
      <c r="C137" s="2" t="s">
        <v>400</v>
      </c>
      <c r="D137" s="6" t="s">
        <v>509</v>
      </c>
      <c r="E137" s="1">
        <v>10</v>
      </c>
      <c r="F137" s="8">
        <v>9.9960000000000004</v>
      </c>
      <c r="G137" s="8">
        <f>fact_anuncios[[#This Row],[preco_unit]]*(1-fact_anuncios[[#This Row],[perc_desconto_min]])</f>
        <v>9.1463400000000004</v>
      </c>
      <c r="H137" s="8">
        <f>fact_anuncios[[#This Row],[preco_unit]]*fact_anuncios[[#This Row],[quantidade_anuncio]]</f>
        <v>99.960000000000008</v>
      </c>
      <c r="I137" s="1">
        <v>8.5000000000000006E-2</v>
      </c>
      <c r="J137" s="8">
        <f>fact_anuncios[[#This Row],[preco_min_unit]]*fact_anuncios[[#This Row],[quantidade_anuncio]]</f>
        <v>91.463400000000007</v>
      </c>
      <c r="K137" s="1" t="s">
        <v>18</v>
      </c>
      <c r="L137" s="1">
        <v>0.17</v>
      </c>
      <c r="M137" s="9">
        <f>fact_anuncios[[#This Row],[preco_sugerido]]*fact_anuncios[[#This Row],[perc_comissao]]</f>
        <v>24.612464641173396</v>
      </c>
      <c r="N137" s="9">
        <v>20.75</v>
      </c>
      <c r="O137" s="4">
        <v>0.08</v>
      </c>
      <c r="P137" s="9">
        <f>fact_anuncios[[#This Row],[valor_tipo]]+fact_anuncios[[#This Row],[frete]]</f>
        <v>45.362464641173396</v>
      </c>
      <c r="Q137" s="9">
        <f>(fact_anuncios[[#This Row],[valor_tipo]]+fact_anuncios[[#This Row],[frete]])*(1+fact_anuncios[[#This Row],[markup_promo]])</f>
        <v>48.991461812467271</v>
      </c>
      <c r="R137" s="9">
        <f>((fact_anuncios[[#This Row],[valor_min_produto]] / (1-fact_anuncios[[#This Row],[markup_promo]])) +fact_anuncios[[#This Row],[frete]]) / (1 - fact_anuncios[[#This Row],[perc_comissao]])</f>
        <v>144.77920377160819</v>
      </c>
      <c r="S137" s="9">
        <f>(fact_anuncios[[#This Row],[valor_min_produto]] + fact_anuncios[[#This Row],[frete]]) / (1 - fact_anuncios[[#This Row],[perc_comissao]])</f>
        <v>135.19686746987952</v>
      </c>
      <c r="T137" s="9">
        <f>fact_anuncios[[#This Row],[atacado_1]] * 1.0254</f>
        <v>138.63086790361447</v>
      </c>
      <c r="U137" s="1" t="s">
        <v>4</v>
      </c>
    </row>
    <row r="138" spans="1:21" x14ac:dyDescent="0.3">
      <c r="A138" s="1">
        <v>1073</v>
      </c>
      <c r="B138" s="2" t="s">
        <v>288</v>
      </c>
      <c r="C138" s="2" t="s">
        <v>401</v>
      </c>
      <c r="D138" s="6" t="s">
        <v>510</v>
      </c>
      <c r="E138" s="1">
        <v>1</v>
      </c>
      <c r="F138" s="8">
        <v>14822.5</v>
      </c>
      <c r="G138" s="8">
        <f>fact_anuncios[[#This Row],[preco_unit]]*(1-fact_anuncios[[#This Row],[perc_desconto_min]])</f>
        <v>14821.017750000001</v>
      </c>
      <c r="H138" s="8">
        <f>fact_anuncios[[#This Row],[preco_unit]]*fact_anuncios[[#This Row],[quantidade_anuncio]]</f>
        <v>14822.5</v>
      </c>
      <c r="I138" s="1">
        <v>1E-4</v>
      </c>
      <c r="J138" s="8">
        <f>fact_anuncios[[#This Row],[preco_min_unit]]*fact_anuncios[[#This Row],[quantidade_anuncio]]</f>
        <v>14821.017750000001</v>
      </c>
      <c r="K138" s="1" t="s">
        <v>18</v>
      </c>
      <c r="L138" s="1">
        <v>0.17</v>
      </c>
      <c r="M138" s="9">
        <f>fact_anuncios[[#This Row],[preco_sugerido]]*fact_anuncios[[#This Row],[perc_comissao]]</f>
        <v>3325.5178594814042</v>
      </c>
      <c r="N138" s="9">
        <v>126.55</v>
      </c>
      <c r="O138" s="4">
        <v>0.08</v>
      </c>
      <c r="P138" s="9">
        <f>fact_anuncios[[#This Row],[valor_tipo]]+fact_anuncios[[#This Row],[frete]]</f>
        <v>3452.0678594814044</v>
      </c>
      <c r="Q138" s="9">
        <f>(fact_anuncios[[#This Row],[valor_tipo]]+fact_anuncios[[#This Row],[frete]])*(1+fact_anuncios[[#This Row],[markup_promo]])</f>
        <v>3728.2332882399169</v>
      </c>
      <c r="R138" s="9">
        <f>((fact_anuncios[[#This Row],[valor_min_produto]] / (1-fact_anuncios[[#This Row],[markup_promo]])) +fact_anuncios[[#This Row],[frete]]) / (1 - fact_anuncios[[#This Row],[perc_comissao]])</f>
        <v>19561.869761655318</v>
      </c>
      <c r="S138" s="9">
        <f>(fact_anuncios[[#This Row],[valor_min_produto]] + fact_anuncios[[#This Row],[frete]]) / (1 - fact_anuncios[[#This Row],[perc_comissao]])</f>
        <v>18009.117771084337</v>
      </c>
      <c r="T138" s="9">
        <f>fact_anuncios[[#This Row],[atacado_1]] * 1.0254</f>
        <v>18466.549362469879</v>
      </c>
      <c r="U138" s="1" t="s">
        <v>6</v>
      </c>
    </row>
    <row r="139" spans="1:21" x14ac:dyDescent="0.3">
      <c r="A139" s="1">
        <v>1074</v>
      </c>
      <c r="B139" s="2" t="s">
        <v>252</v>
      </c>
      <c r="C139" s="2" t="s">
        <v>402</v>
      </c>
      <c r="D139" s="6" t="s">
        <v>543</v>
      </c>
      <c r="E139" s="1">
        <v>1</v>
      </c>
      <c r="F139" s="8">
        <v>6589.44</v>
      </c>
      <c r="G139" s="8">
        <f>fact_anuncios[[#This Row],[preco_unit]]*(1-fact_anuncios[[#This Row],[perc_desconto_min]])</f>
        <v>6588.7810559999998</v>
      </c>
      <c r="H139" s="8">
        <f>fact_anuncios[[#This Row],[preco_unit]]*fact_anuncios[[#This Row],[quantidade_anuncio]]</f>
        <v>6589.44</v>
      </c>
      <c r="I139" s="1">
        <v>1E-4</v>
      </c>
      <c r="J139" s="8">
        <f>fact_anuncios[[#This Row],[preco_min_unit]]*fact_anuncios[[#This Row],[quantidade_anuncio]]</f>
        <v>6588.7810559999998</v>
      </c>
      <c r="K139" s="1" t="s">
        <v>19</v>
      </c>
      <c r="L139" s="1">
        <v>0.12</v>
      </c>
      <c r="M139" s="9">
        <f>fact_anuncios[[#This Row],[preco_sugerido]]*fact_anuncios[[#This Row],[perc_comissao]]</f>
        <v>991.18207351778642</v>
      </c>
      <c r="N139" s="9">
        <v>106.95</v>
      </c>
      <c r="O139" s="4">
        <v>0.08</v>
      </c>
      <c r="P139" s="9">
        <f>fact_anuncios[[#This Row],[valor_tipo]]+fact_anuncios[[#This Row],[frete]]</f>
        <v>1098.1320735177865</v>
      </c>
      <c r="Q139" s="9">
        <f>(fact_anuncios[[#This Row],[valor_tipo]]+fact_anuncios[[#This Row],[frete]])*(1+fact_anuncios[[#This Row],[markup_promo]])</f>
        <v>1185.9826393992096</v>
      </c>
      <c r="R139" s="9">
        <f>((fact_anuncios[[#This Row],[valor_min_produto]] / (1-fact_anuncios[[#This Row],[markup_promo]])) +fact_anuncios[[#This Row],[frete]]) / (1 - fact_anuncios[[#This Row],[perc_comissao]])</f>
        <v>8259.8506126482207</v>
      </c>
      <c r="S139" s="9">
        <f>(fact_anuncios[[#This Row],[valor_min_produto]] + fact_anuncios[[#This Row],[frete]]) / (1 - fact_anuncios[[#This Row],[perc_comissao]])</f>
        <v>7608.7852909090907</v>
      </c>
      <c r="T139" s="9">
        <f>fact_anuncios[[#This Row],[atacado_1]] * 1.0254</f>
        <v>7802.0484372981819</v>
      </c>
      <c r="U139" s="1" t="s">
        <v>6</v>
      </c>
    </row>
    <row r="140" spans="1:21" x14ac:dyDescent="0.3">
      <c r="A140" s="1">
        <v>1074</v>
      </c>
      <c r="B140" s="2" t="s">
        <v>253</v>
      </c>
      <c r="C140" s="2" t="s">
        <v>403</v>
      </c>
      <c r="D140" s="6" t="s">
        <v>543</v>
      </c>
      <c r="E140" s="1">
        <v>1</v>
      </c>
      <c r="F140" s="8">
        <v>6589.44</v>
      </c>
      <c r="G140" s="8">
        <f>fact_anuncios[[#This Row],[preco_unit]]*(1-fact_anuncios[[#This Row],[perc_desconto_min]])</f>
        <v>6588.7810559999998</v>
      </c>
      <c r="H140" s="8">
        <f>fact_anuncios[[#This Row],[preco_unit]]*fact_anuncios[[#This Row],[quantidade_anuncio]]</f>
        <v>6589.44</v>
      </c>
      <c r="I140" s="1">
        <v>1E-4</v>
      </c>
      <c r="J140" s="8">
        <f>fact_anuncios[[#This Row],[preco_min_unit]]*fact_anuncios[[#This Row],[quantidade_anuncio]]</f>
        <v>6588.7810559999998</v>
      </c>
      <c r="K140" s="1" t="s">
        <v>18</v>
      </c>
      <c r="L140" s="1">
        <v>0.17</v>
      </c>
      <c r="M140" s="9">
        <f>fact_anuncios[[#This Row],[preco_sugerido]]*fact_anuncios[[#This Row],[perc_comissao]]</f>
        <v>1485.5272911471975</v>
      </c>
      <c r="N140" s="9">
        <v>91.15</v>
      </c>
      <c r="O140" s="4">
        <v>0.08</v>
      </c>
      <c r="P140" s="9">
        <f>fact_anuncios[[#This Row],[valor_tipo]]+fact_anuncios[[#This Row],[frete]]</f>
        <v>1576.6772911471976</v>
      </c>
      <c r="Q140" s="9">
        <f>(fact_anuncios[[#This Row],[valor_tipo]]+fact_anuncios[[#This Row],[frete]])*(1+fact_anuncios[[#This Row],[markup_promo]])</f>
        <v>1702.8114744389736</v>
      </c>
      <c r="R140" s="9">
        <f>((fact_anuncios[[#This Row],[valor_min_produto]] / (1-fact_anuncios[[#This Row],[markup_promo]])) +fact_anuncios[[#This Row],[frete]]) / (1 - fact_anuncios[[#This Row],[perc_comissao]])</f>
        <v>8738.3958302776318</v>
      </c>
      <c r="S140" s="9">
        <f>(fact_anuncios[[#This Row],[valor_min_produto]] + fact_anuncios[[#This Row],[frete]]) / (1 - fact_anuncios[[#This Row],[perc_comissao]])</f>
        <v>8048.1097060240963</v>
      </c>
      <c r="T140" s="9">
        <f>fact_anuncios[[#This Row],[atacado_1]] * 1.0254</f>
        <v>8252.5316925571096</v>
      </c>
      <c r="U140" s="1" t="s">
        <v>6</v>
      </c>
    </row>
    <row r="141" spans="1:21" x14ac:dyDescent="0.3">
      <c r="A141" s="1">
        <v>1075</v>
      </c>
      <c r="B141" s="2" t="s">
        <v>190</v>
      </c>
      <c r="C141" s="2" t="s">
        <v>405</v>
      </c>
      <c r="D141" s="6" t="s">
        <v>511</v>
      </c>
      <c r="E141" s="1">
        <v>5</v>
      </c>
      <c r="F141" s="8">
        <v>319.56709999999998</v>
      </c>
      <c r="G141" s="8">
        <f>fact_anuncios[[#This Row],[preco_unit]]*(1-fact_anuncios[[#This Row],[perc_desconto_min]])</f>
        <v>295.91913460000001</v>
      </c>
      <c r="H141" s="8">
        <f>fact_anuncios[[#This Row],[preco_unit]]*fact_anuncios[[#This Row],[quantidade_anuncio]]</f>
        <v>1597.8354999999999</v>
      </c>
      <c r="I141" s="1">
        <v>7.3999999999999996E-2</v>
      </c>
      <c r="J141" s="8">
        <f>fact_anuncios[[#This Row],[preco_min_unit]]*fact_anuncios[[#This Row],[quantidade_anuncio]]</f>
        <v>1479.595673</v>
      </c>
      <c r="K141" s="1" t="s">
        <v>18</v>
      </c>
      <c r="L141" s="1">
        <v>0.17</v>
      </c>
      <c r="M141" s="9">
        <f>fact_anuncios[[#This Row],[preco_sugerido]]*fact_anuncios[[#This Row],[perc_comissao]]</f>
        <v>334.02054008643267</v>
      </c>
      <c r="N141" s="9">
        <v>22.55</v>
      </c>
      <c r="O141" s="4">
        <v>0.08</v>
      </c>
      <c r="P141" s="9">
        <f>fact_anuncios[[#This Row],[valor_tipo]]+fact_anuncios[[#This Row],[frete]]</f>
        <v>356.57054008643269</v>
      </c>
      <c r="Q141" s="9">
        <f>(fact_anuncios[[#This Row],[valor_tipo]]+fact_anuncios[[#This Row],[frete]])*(1+fact_anuncios[[#This Row],[markup_promo]])</f>
        <v>385.09618329334734</v>
      </c>
      <c r="R141" s="9">
        <f>((fact_anuncios[[#This Row],[valor_min_produto]] / (1-fact_anuncios[[#This Row],[markup_promo]])) +fact_anuncios[[#This Row],[frete]]) / (1 - fact_anuncios[[#This Row],[perc_comissao]])</f>
        <v>1964.8267063907804</v>
      </c>
      <c r="S141" s="9">
        <f>(fact_anuncios[[#This Row],[valor_min_produto]] + fact_anuncios[[#This Row],[frete]]) / (1 - fact_anuncios[[#This Row],[perc_comissao]])</f>
        <v>1809.8140638554219</v>
      </c>
      <c r="T141" s="9">
        <f>fact_anuncios[[#This Row],[atacado_1]] * 1.0254</f>
        <v>1855.7833410773496</v>
      </c>
      <c r="U141" s="1" t="s">
        <v>7</v>
      </c>
    </row>
    <row r="142" spans="1:21" x14ac:dyDescent="0.3">
      <c r="A142" s="1">
        <v>1075</v>
      </c>
      <c r="B142" s="2" t="s">
        <v>191</v>
      </c>
      <c r="C142" s="2" t="s">
        <v>404</v>
      </c>
      <c r="D142" s="6" t="s">
        <v>511</v>
      </c>
      <c r="E142" s="1">
        <v>1</v>
      </c>
      <c r="F142" s="8">
        <v>319.56709999999998</v>
      </c>
      <c r="G142" s="8">
        <f>fact_anuncios[[#This Row],[preco_unit]]*(1-fact_anuncios[[#This Row],[perc_desconto_min]])</f>
        <v>295.91913460000001</v>
      </c>
      <c r="H142" s="8">
        <f>fact_anuncios[[#This Row],[preco_unit]]*fact_anuncios[[#This Row],[quantidade_anuncio]]</f>
        <v>319.56709999999998</v>
      </c>
      <c r="I142" s="1">
        <v>7.3999999999999996E-2</v>
      </c>
      <c r="J142" s="8">
        <f>fact_anuncios[[#This Row],[preco_min_unit]]*fact_anuncios[[#This Row],[quantidade_anuncio]]</f>
        <v>295.91913460000001</v>
      </c>
      <c r="K142" s="1" t="s">
        <v>18</v>
      </c>
      <c r="L142" s="1">
        <v>0.14000000000000001</v>
      </c>
      <c r="M142" s="9">
        <f>fact_anuncios[[#This Row],[preco_sugerido]]*fact_anuncios[[#This Row],[perc_comissao]]</f>
        <v>55.772293786653186</v>
      </c>
      <c r="N142" s="9">
        <v>20.95</v>
      </c>
      <c r="O142" s="4">
        <v>0.08</v>
      </c>
      <c r="P142" s="9">
        <f>fact_anuncios[[#This Row],[valor_tipo]]+fact_anuncios[[#This Row],[frete]]</f>
        <v>76.722293786653182</v>
      </c>
      <c r="Q142" s="9">
        <f>(fact_anuncios[[#This Row],[valor_tipo]]+fact_anuncios[[#This Row],[frete]])*(1+fact_anuncios[[#This Row],[markup_promo]])</f>
        <v>82.860077289585448</v>
      </c>
      <c r="R142" s="9">
        <f>((fact_anuncios[[#This Row],[valor_min_produto]] / (1-fact_anuncios[[#This Row],[markup_promo]])) +fact_anuncios[[#This Row],[frete]]) / (1 - fact_anuncios[[#This Row],[perc_comissao]])</f>
        <v>398.37352704752271</v>
      </c>
      <c r="S142" s="9">
        <f>(fact_anuncios[[#This Row],[valor_min_produto]] + fact_anuncios[[#This Row],[frete]]) / (1 - fact_anuncios[[#This Row],[perc_comissao]])</f>
        <v>368.45248209302326</v>
      </c>
      <c r="T142" s="9">
        <f>fact_anuncios[[#This Row],[atacado_1]] * 1.0254</f>
        <v>377.81117513818612</v>
      </c>
      <c r="U142" s="1" t="s">
        <v>7</v>
      </c>
    </row>
    <row r="143" spans="1:21" x14ac:dyDescent="0.3">
      <c r="A143" s="1">
        <v>1075</v>
      </c>
      <c r="B143" s="2" t="s">
        <v>192</v>
      </c>
      <c r="C143" s="2" t="s">
        <v>406</v>
      </c>
      <c r="D143" s="6" t="s">
        <v>511</v>
      </c>
      <c r="E143" s="1">
        <v>1</v>
      </c>
      <c r="F143" s="8">
        <v>319.56709999999998</v>
      </c>
      <c r="G143" s="8">
        <f>fact_anuncios[[#This Row],[preco_unit]]*(1-fact_anuncios[[#This Row],[perc_desconto_min]])</f>
        <v>295.91913460000001</v>
      </c>
      <c r="H143" s="8">
        <f>fact_anuncios[[#This Row],[preco_unit]]*fact_anuncios[[#This Row],[quantidade_anuncio]]</f>
        <v>319.56709999999998</v>
      </c>
      <c r="I143" s="1">
        <v>7.3999999999999996E-2</v>
      </c>
      <c r="J143" s="8">
        <f>fact_anuncios[[#This Row],[preco_min_unit]]*fact_anuncios[[#This Row],[quantidade_anuncio]]</f>
        <v>295.91913460000001</v>
      </c>
      <c r="K143" s="1" t="s">
        <v>18</v>
      </c>
      <c r="L143" s="1">
        <v>0.14000000000000001</v>
      </c>
      <c r="M143" s="9">
        <f>fact_anuncios[[#This Row],[preco_sugerido]]*fact_anuncios[[#This Row],[perc_comissao]]</f>
        <v>55.772293786653186</v>
      </c>
      <c r="N143" s="9">
        <v>20.95</v>
      </c>
      <c r="O143" s="4">
        <v>0.08</v>
      </c>
      <c r="P143" s="9">
        <f>fact_anuncios[[#This Row],[valor_tipo]]+fact_anuncios[[#This Row],[frete]]</f>
        <v>76.722293786653182</v>
      </c>
      <c r="Q143" s="9">
        <f>(fact_anuncios[[#This Row],[valor_tipo]]+fact_anuncios[[#This Row],[frete]])*(1+fact_anuncios[[#This Row],[markup_promo]])</f>
        <v>82.860077289585448</v>
      </c>
      <c r="R143" s="9">
        <f>((fact_anuncios[[#This Row],[valor_min_produto]] / (1-fact_anuncios[[#This Row],[markup_promo]])) +fact_anuncios[[#This Row],[frete]]) / (1 - fact_anuncios[[#This Row],[perc_comissao]])</f>
        <v>398.37352704752271</v>
      </c>
      <c r="S143" s="9">
        <f>(fact_anuncios[[#This Row],[valor_min_produto]] + fact_anuncios[[#This Row],[frete]]) / (1 - fact_anuncios[[#This Row],[perc_comissao]])</f>
        <v>368.45248209302326</v>
      </c>
      <c r="T143" s="9">
        <f>fact_anuncios[[#This Row],[atacado_1]] * 1.0254</f>
        <v>377.81117513818612</v>
      </c>
      <c r="U143" s="1" t="s">
        <v>7</v>
      </c>
    </row>
    <row r="144" spans="1:21" x14ac:dyDescent="0.3">
      <c r="A144" s="1">
        <v>1076</v>
      </c>
      <c r="B144" s="2" t="s">
        <v>187</v>
      </c>
      <c r="C144" s="2" t="s">
        <v>407</v>
      </c>
      <c r="D144" s="6" t="s">
        <v>512</v>
      </c>
      <c r="E144" s="1">
        <v>5</v>
      </c>
      <c r="F144" s="8">
        <v>99.045000000000002</v>
      </c>
      <c r="G144" s="8">
        <f>fact_anuncios[[#This Row],[preco_unit]]*(1-fact_anuncios[[#This Row],[perc_desconto_min]])</f>
        <v>91.715670000000003</v>
      </c>
      <c r="H144" s="8">
        <f>fact_anuncios[[#This Row],[preco_unit]]*fact_anuncios[[#This Row],[quantidade_anuncio]]</f>
        <v>495.22500000000002</v>
      </c>
      <c r="I144" s="1">
        <v>7.3999999999999996E-2</v>
      </c>
      <c r="J144" s="8">
        <f>fact_anuncios[[#This Row],[preco_min_unit]]*fact_anuncios[[#This Row],[quantidade_anuncio]]</f>
        <v>458.57835</v>
      </c>
      <c r="K144" s="1" t="s">
        <v>18</v>
      </c>
      <c r="L144" s="1">
        <v>0.14000000000000001</v>
      </c>
      <c r="M144" s="9">
        <f>fact_anuncios[[#This Row],[preco_sugerido]]*fact_anuncios[[#This Row],[perc_comissao]]</f>
        <v>84.554258088978784</v>
      </c>
      <c r="N144" s="9">
        <v>20.95</v>
      </c>
      <c r="O144" s="4">
        <v>0.08</v>
      </c>
      <c r="P144" s="9">
        <f>fact_anuncios[[#This Row],[valor_tipo]]+fact_anuncios[[#This Row],[frete]]</f>
        <v>105.50425808897879</v>
      </c>
      <c r="Q144" s="9">
        <f>(fact_anuncios[[#This Row],[valor_tipo]]+fact_anuncios[[#This Row],[frete]])*(1+fact_anuncios[[#This Row],[markup_promo]])</f>
        <v>113.94459873609709</v>
      </c>
      <c r="R144" s="9">
        <f>((fact_anuncios[[#This Row],[valor_min_produto]] / (1-fact_anuncios[[#This Row],[markup_promo]])) +fact_anuncios[[#This Row],[frete]]) / (1 - fact_anuncios[[#This Row],[perc_comissao]])</f>
        <v>603.95898634984837</v>
      </c>
      <c r="S144" s="9">
        <f>(fact_anuncios[[#This Row],[valor_min_produto]] + fact_anuncios[[#This Row],[frete]]) / (1 - fact_anuncios[[#This Row],[perc_comissao]])</f>
        <v>557.59110465116282</v>
      </c>
      <c r="T144" s="9">
        <f>fact_anuncios[[#This Row],[atacado_1]] * 1.0254</f>
        <v>571.75391870930241</v>
      </c>
      <c r="U144" s="1" t="s">
        <v>7</v>
      </c>
    </row>
    <row r="145" spans="1:21" x14ac:dyDescent="0.3">
      <c r="A145" s="1">
        <v>1077</v>
      </c>
      <c r="B145" s="2" t="s">
        <v>293</v>
      </c>
      <c r="C145" s="2" t="s">
        <v>408</v>
      </c>
      <c r="D145" s="6" t="s">
        <v>513</v>
      </c>
      <c r="E145" s="1">
        <v>1</v>
      </c>
      <c r="F145" s="8">
        <v>1587.1622</v>
      </c>
      <c r="G145" s="8">
        <f>fact_anuncios[[#This Row],[preco_unit]]*(1-fact_anuncios[[#This Row],[perc_desconto_min]])</f>
        <v>1476.0608459999999</v>
      </c>
      <c r="H145" s="8">
        <f>fact_anuncios[[#This Row],[preco_unit]]*fact_anuncios[[#This Row],[quantidade_anuncio]]</f>
        <v>1587.1622</v>
      </c>
      <c r="I145" s="1">
        <v>7.0000000000000007E-2</v>
      </c>
      <c r="J145" s="8">
        <f>fact_anuncios[[#This Row],[preco_min_unit]]*fact_anuncios[[#This Row],[quantidade_anuncio]]</f>
        <v>1476.0608459999999</v>
      </c>
      <c r="K145" s="1" t="s">
        <v>18</v>
      </c>
      <c r="L145" s="1">
        <v>0.17</v>
      </c>
      <c r="M145" s="9">
        <f>fact_anuncios[[#This Row],[preco_sugerido]]*fact_anuncios[[#This Row],[perc_comissao]]</f>
        <v>333.66370327396544</v>
      </c>
      <c r="N145" s="9">
        <v>24.65</v>
      </c>
      <c r="O145" s="4">
        <v>0.08</v>
      </c>
      <c r="P145" s="9">
        <f>fact_anuncios[[#This Row],[valor_tipo]]+fact_anuncios[[#This Row],[frete]]</f>
        <v>358.31370327396542</v>
      </c>
      <c r="Q145" s="9">
        <f>(fact_anuncios[[#This Row],[valor_tipo]]+fact_anuncios[[#This Row],[frete]])*(1+fact_anuncios[[#This Row],[markup_promo]])</f>
        <v>386.97879953588267</v>
      </c>
      <c r="R145" s="9">
        <f>((fact_anuncios[[#This Row],[valor_min_produto]] / (1-fact_anuncios[[#This Row],[markup_promo]])) +fact_anuncios[[#This Row],[frete]]) / (1 - fact_anuncios[[#This Row],[perc_comissao]])</f>
        <v>1962.7276663174437</v>
      </c>
      <c r="S145" s="9">
        <f>(fact_anuncios[[#This Row],[valor_min_produto]] + fact_anuncios[[#This Row],[frete]]) / (1 - fact_anuncios[[#This Row],[perc_comissao]])</f>
        <v>1808.0853566265062</v>
      </c>
      <c r="T145" s="9">
        <f>fact_anuncios[[#This Row],[atacado_1]] * 1.0254</f>
        <v>1854.0107246848195</v>
      </c>
      <c r="U145" s="1" t="s">
        <v>22</v>
      </c>
    </row>
    <row r="146" spans="1:21" x14ac:dyDescent="0.3">
      <c r="A146" s="1">
        <v>1078</v>
      </c>
      <c r="B146" s="2" t="s">
        <v>300</v>
      </c>
      <c r="C146" s="2" t="s">
        <v>409</v>
      </c>
      <c r="D146" s="6" t="s">
        <v>544</v>
      </c>
      <c r="E146" s="1">
        <v>1</v>
      </c>
      <c r="F146" s="8">
        <v>172.66540000000001</v>
      </c>
      <c r="G146" s="8">
        <f>fact_anuncios[[#This Row],[preco_unit]]*(1-fact_anuncios[[#This Row],[perc_desconto_min]])</f>
        <v>155.39886000000001</v>
      </c>
      <c r="H146" s="8">
        <f>fact_anuncios[[#This Row],[preco_unit]]*fact_anuncios[[#This Row],[quantidade_anuncio]]</f>
        <v>172.66540000000001</v>
      </c>
      <c r="I146" s="1">
        <v>0.1</v>
      </c>
      <c r="J146" s="8">
        <f>fact_anuncios[[#This Row],[preco_min_unit]]*fact_anuncios[[#This Row],[quantidade_anuncio]]</f>
        <v>155.39886000000001</v>
      </c>
      <c r="K146" s="1" t="s">
        <v>18</v>
      </c>
      <c r="L146" s="1">
        <v>0.14000000000000001</v>
      </c>
      <c r="M146" s="9">
        <f>fact_anuncios[[#This Row],[preco_sugerido]]*fact_anuncios[[#This Row],[perc_comissao]]</f>
        <v>30.500758847320526</v>
      </c>
      <c r="N146" s="9">
        <v>18.45</v>
      </c>
      <c r="O146" s="4">
        <v>0.08</v>
      </c>
      <c r="P146" s="9">
        <f>fact_anuncios[[#This Row],[valor_tipo]]+fact_anuncios[[#This Row],[frete]]</f>
        <v>48.950758847320529</v>
      </c>
      <c r="Q146" s="9">
        <f>(fact_anuncios[[#This Row],[valor_tipo]]+fact_anuncios[[#This Row],[frete]])*(1+fact_anuncios[[#This Row],[markup_promo]])</f>
        <v>52.866819555106176</v>
      </c>
      <c r="R146" s="9">
        <f>((fact_anuncios[[#This Row],[valor_min_produto]] / (1-fact_anuncios[[#This Row],[markup_promo]])) +fact_anuncios[[#This Row],[frete]]) / (1 - fact_anuncios[[#This Row],[perc_comissao]])</f>
        <v>217.86256319514661</v>
      </c>
      <c r="S146" s="9">
        <f>(fact_anuncios[[#This Row],[valor_min_produto]] + fact_anuncios[[#This Row],[frete]]) / (1 - fact_anuncios[[#This Row],[perc_comissao]])</f>
        <v>202.14983720930232</v>
      </c>
      <c r="T146" s="9">
        <f>fact_anuncios[[#This Row],[atacado_1]] * 1.0254</f>
        <v>207.28444307441862</v>
      </c>
      <c r="U146" s="1" t="s">
        <v>27</v>
      </c>
    </row>
    <row r="147" spans="1:21" x14ac:dyDescent="0.3">
      <c r="A147" s="1">
        <v>1079</v>
      </c>
      <c r="B147" s="2" t="s">
        <v>156</v>
      </c>
      <c r="C147" s="2" t="s">
        <v>410</v>
      </c>
      <c r="D147" s="6" t="s">
        <v>514</v>
      </c>
      <c r="E147" s="1">
        <v>10</v>
      </c>
      <c r="F147" s="8">
        <v>37.1648</v>
      </c>
      <c r="G147" s="8">
        <f>fact_anuncios[[#This Row],[preco_unit]]*(1-fact_anuncios[[#This Row],[perc_desconto_min]])</f>
        <v>35.306559999999998</v>
      </c>
      <c r="H147" s="8">
        <f>fact_anuncios[[#This Row],[preco_unit]]*fact_anuncios[[#This Row],[quantidade_anuncio]]</f>
        <v>371.64800000000002</v>
      </c>
      <c r="I147" s="1">
        <v>0.05</v>
      </c>
      <c r="J147" s="8">
        <f>fact_anuncios[[#This Row],[preco_min_unit]]*fact_anuncios[[#This Row],[quantidade_anuncio]]</f>
        <v>353.06559999999996</v>
      </c>
      <c r="K147" s="1" t="s">
        <v>18</v>
      </c>
      <c r="L147" s="1">
        <v>0.14000000000000001</v>
      </c>
      <c r="M147" s="9">
        <f>fact_anuncios[[#This Row],[preco_sugerido]]*fact_anuncios[[#This Row],[perc_comissao]]</f>
        <v>66.486481294236597</v>
      </c>
      <c r="N147" s="9">
        <v>24.65</v>
      </c>
      <c r="O147" s="4">
        <v>0.08</v>
      </c>
      <c r="P147" s="9">
        <f>fact_anuncios[[#This Row],[valor_tipo]]+fact_anuncios[[#This Row],[frete]]</f>
        <v>91.136481294236603</v>
      </c>
      <c r="Q147" s="9">
        <f>(fact_anuncios[[#This Row],[valor_tipo]]+fact_anuncios[[#This Row],[frete]])*(1+fact_anuncios[[#This Row],[markup_promo]])</f>
        <v>98.427399797775536</v>
      </c>
      <c r="R147" s="9">
        <f>((fact_anuncios[[#This Row],[valor_min_produto]] / (1-fact_anuncios[[#This Row],[markup_promo]])) +fact_anuncios[[#This Row],[frete]]) / (1 - fact_anuncios[[#This Row],[perc_comissao]])</f>
        <v>474.90343781597568</v>
      </c>
      <c r="S147" s="9">
        <f>(fact_anuncios[[#This Row],[valor_min_produto]] + fact_anuncios[[#This Row],[frete]]) / (1 - fact_anuncios[[#This Row],[perc_comissao]])</f>
        <v>439.20418604651155</v>
      </c>
      <c r="T147" s="9">
        <f>fact_anuncios[[#This Row],[atacado_1]] * 1.0254</f>
        <v>450.35997237209301</v>
      </c>
      <c r="U147" s="1" t="s">
        <v>4</v>
      </c>
    </row>
    <row r="148" spans="1:21" x14ac:dyDescent="0.3">
      <c r="A148" s="1">
        <v>1079</v>
      </c>
      <c r="B148" s="2" t="s">
        <v>157</v>
      </c>
      <c r="C148" s="2" t="s">
        <v>411</v>
      </c>
      <c r="D148" s="6" t="s">
        <v>514</v>
      </c>
      <c r="E148" s="1">
        <v>25</v>
      </c>
      <c r="F148" s="8">
        <v>37.1648</v>
      </c>
      <c r="G148" s="8">
        <f>fact_anuncios[[#This Row],[preco_unit]]*(1-fact_anuncios[[#This Row],[perc_desconto_min]])</f>
        <v>35.306559999999998</v>
      </c>
      <c r="H148" s="8">
        <f>fact_anuncios[[#This Row],[preco_unit]]*fact_anuncios[[#This Row],[quantidade_anuncio]]</f>
        <v>929.12</v>
      </c>
      <c r="I148" s="1">
        <v>0.05</v>
      </c>
      <c r="J148" s="8">
        <f>fact_anuncios[[#This Row],[preco_min_unit]]*fact_anuncios[[#This Row],[quantidade_anuncio]]</f>
        <v>882.66399999999999</v>
      </c>
      <c r="K148" s="1" t="s">
        <v>18</v>
      </c>
      <c r="L148" s="1">
        <v>0.17</v>
      </c>
      <c r="M148" s="9">
        <f>fact_anuncios[[#This Row],[preco_sugerido]]*fact_anuncios[[#This Row],[perc_comissao]]</f>
        <v>202.31380303823997</v>
      </c>
      <c r="N148" s="9">
        <v>28.35</v>
      </c>
      <c r="O148" s="4">
        <v>0.08</v>
      </c>
      <c r="P148" s="9">
        <f>fact_anuncios[[#This Row],[valor_tipo]]+fact_anuncios[[#This Row],[frete]]</f>
        <v>230.66380303823996</v>
      </c>
      <c r="Q148" s="9">
        <f>(fact_anuncios[[#This Row],[valor_tipo]]+fact_anuncios[[#This Row],[frete]])*(1+fact_anuncios[[#This Row],[markup_promo]])</f>
        <v>249.11690728129918</v>
      </c>
      <c r="R148" s="9">
        <f>((fact_anuncios[[#This Row],[valor_min_produto]] / (1-fact_anuncios[[#This Row],[markup_promo]])) +fact_anuncios[[#This Row],[frete]]) / (1 - fact_anuncios[[#This Row],[perc_comissao]])</f>
        <v>1190.0811943425879</v>
      </c>
      <c r="S148" s="9">
        <f>(fact_anuncios[[#This Row],[valor_min_produto]] + fact_anuncios[[#This Row],[frete]]) / (1 - fact_anuncios[[#This Row],[perc_comissao]])</f>
        <v>1097.6072289156627</v>
      </c>
      <c r="T148" s="9">
        <f>fact_anuncios[[#This Row],[atacado_1]] * 1.0254</f>
        <v>1125.4864525301207</v>
      </c>
      <c r="U148" s="1" t="s">
        <v>4</v>
      </c>
    </row>
    <row r="149" spans="1:21" x14ac:dyDescent="0.3">
      <c r="A149" s="1">
        <v>1079</v>
      </c>
      <c r="B149" s="2" t="s">
        <v>158</v>
      </c>
      <c r="C149" s="2" t="s">
        <v>412</v>
      </c>
      <c r="D149" s="6" t="s">
        <v>514</v>
      </c>
      <c r="E149" s="1">
        <v>10</v>
      </c>
      <c r="F149" s="8">
        <v>37.166699999999999</v>
      </c>
      <c r="G149" s="8">
        <f>fact_anuncios[[#This Row],[preco_unit]]*(1-fact_anuncios[[#This Row],[perc_desconto_min]])</f>
        <v>35.308364999999995</v>
      </c>
      <c r="H149" s="8">
        <f>fact_anuncios[[#This Row],[preco_unit]]*fact_anuncios[[#This Row],[quantidade_anuncio]]</f>
        <v>371.66699999999997</v>
      </c>
      <c r="I149" s="1">
        <v>0.05</v>
      </c>
      <c r="J149" s="8">
        <f>fact_anuncios[[#This Row],[preco_min_unit]]*fact_anuncios[[#This Row],[quantidade_anuncio]]</f>
        <v>353.08364999999992</v>
      </c>
      <c r="K149" s="1" t="s">
        <v>18</v>
      </c>
      <c r="L149" s="1">
        <v>0.14000000000000001</v>
      </c>
      <c r="M149" s="9">
        <f>fact_anuncios[[#This Row],[preco_sugerido]]*fact_anuncios[[#This Row],[perc_comissao]]</f>
        <v>66.489675176946392</v>
      </c>
      <c r="N149" s="9">
        <v>24.65</v>
      </c>
      <c r="O149" s="4">
        <v>0.08</v>
      </c>
      <c r="P149" s="9">
        <f>fact_anuncios[[#This Row],[valor_tipo]]+fact_anuncios[[#This Row],[frete]]</f>
        <v>91.139675176946383</v>
      </c>
      <c r="Q149" s="9">
        <f>(fact_anuncios[[#This Row],[valor_tipo]]+fact_anuncios[[#This Row],[frete]])*(1+fact_anuncios[[#This Row],[markup_promo]])</f>
        <v>98.430849191102098</v>
      </c>
      <c r="R149" s="9">
        <f>((fact_anuncios[[#This Row],[valor_min_produto]] / (1-fact_anuncios[[#This Row],[markup_promo]])) +fact_anuncios[[#This Row],[frete]]) / (1 - fact_anuncios[[#This Row],[perc_comissao]])</f>
        <v>474.92625126390277</v>
      </c>
      <c r="S149" s="9">
        <f>(fact_anuncios[[#This Row],[valor_min_produto]] + fact_anuncios[[#This Row],[frete]]) / (1 - fact_anuncios[[#This Row],[perc_comissao]])</f>
        <v>439.22517441860452</v>
      </c>
      <c r="T149" s="9">
        <f>fact_anuncios[[#This Row],[atacado_1]] * 1.0254</f>
        <v>450.38149384883712</v>
      </c>
      <c r="U149" s="1" t="s">
        <v>4</v>
      </c>
    </row>
    <row r="150" spans="1:21" x14ac:dyDescent="0.3">
      <c r="A150" s="1">
        <v>1080</v>
      </c>
      <c r="B150" s="2" t="s">
        <v>231</v>
      </c>
      <c r="C150" s="2" t="s">
        <v>413</v>
      </c>
      <c r="D150" s="6" t="s">
        <v>515</v>
      </c>
      <c r="E150" s="1">
        <v>5</v>
      </c>
      <c r="F150" s="8">
        <v>408.60270000000003</v>
      </c>
      <c r="G150" s="8">
        <f>fact_anuncios[[#This Row],[preco_unit]]*(1-fact_anuncios[[#This Row],[perc_desconto_min]])</f>
        <v>378.36610020000006</v>
      </c>
      <c r="H150" s="8">
        <f>fact_anuncios[[#This Row],[preco_unit]]*fact_anuncios[[#This Row],[quantidade_anuncio]]</f>
        <v>2043.0135</v>
      </c>
      <c r="I150" s="1">
        <v>7.3999999999999996E-2</v>
      </c>
      <c r="J150" s="8">
        <f>fact_anuncios[[#This Row],[preco_min_unit]]*fact_anuncios[[#This Row],[quantidade_anuncio]]</f>
        <v>1891.8305010000004</v>
      </c>
      <c r="K150" s="1" t="s">
        <v>18</v>
      </c>
      <c r="L150" s="1">
        <v>0.17</v>
      </c>
      <c r="M150" s="9">
        <f>fact_anuncios[[#This Row],[preco_sugerido]]*fact_anuncios[[#This Row],[perc_comissao]]</f>
        <v>425.79623516238877</v>
      </c>
      <c r="N150" s="9">
        <v>22.55</v>
      </c>
      <c r="O150" s="4">
        <v>0.08</v>
      </c>
      <c r="P150" s="9">
        <f>fact_anuncios[[#This Row],[valor_tipo]]+fact_anuncios[[#This Row],[frete]]</f>
        <v>448.34623516238878</v>
      </c>
      <c r="Q150" s="9">
        <f>(fact_anuncios[[#This Row],[valor_tipo]]+fact_anuncios[[#This Row],[frete]])*(1+fact_anuncios[[#This Row],[markup_promo]])</f>
        <v>484.21393397537992</v>
      </c>
      <c r="R150" s="9">
        <f>((fact_anuncios[[#This Row],[valor_min_produto]] / (1-fact_anuncios[[#This Row],[markup_promo]])) +fact_anuncios[[#This Row],[frete]]) / (1 - fact_anuncios[[#This Row],[perc_comissao]])</f>
        <v>2504.6837362493457</v>
      </c>
      <c r="S150" s="9">
        <f>(fact_anuncios[[#This Row],[valor_min_produto]] + fact_anuncios[[#This Row],[frete]]) / (1 - fact_anuncios[[#This Row],[perc_comissao]])</f>
        <v>2306.4825313253018</v>
      </c>
      <c r="T150" s="9">
        <f>fact_anuncios[[#This Row],[atacado_1]] * 1.0254</f>
        <v>2365.0671876209649</v>
      </c>
      <c r="U150" s="1" t="s">
        <v>7</v>
      </c>
    </row>
    <row r="151" spans="1:21" x14ac:dyDescent="0.3">
      <c r="A151" s="1">
        <v>1080</v>
      </c>
      <c r="B151" s="2" t="s">
        <v>232</v>
      </c>
      <c r="C151" s="2" t="s">
        <v>414</v>
      </c>
      <c r="D151" s="6" t="s">
        <v>515</v>
      </c>
      <c r="E151" s="1">
        <v>1</v>
      </c>
      <c r="F151" s="8">
        <v>408.60270000000003</v>
      </c>
      <c r="G151" s="8">
        <f>fact_anuncios[[#This Row],[preco_unit]]*(1-fact_anuncios[[#This Row],[perc_desconto_min]])</f>
        <v>378.36610020000006</v>
      </c>
      <c r="H151" s="8">
        <f>fact_anuncios[[#This Row],[preco_unit]]*fact_anuncios[[#This Row],[quantidade_anuncio]]</f>
        <v>408.60270000000003</v>
      </c>
      <c r="I151" s="1">
        <v>7.3999999999999996E-2</v>
      </c>
      <c r="J151" s="8">
        <f>fact_anuncios[[#This Row],[preco_min_unit]]*fact_anuncios[[#This Row],[quantidade_anuncio]]</f>
        <v>378.36610020000006</v>
      </c>
      <c r="K151" s="1" t="s">
        <v>18</v>
      </c>
      <c r="L151" s="1">
        <v>0.14000000000000001</v>
      </c>
      <c r="M151" s="9">
        <f>fact_anuncios[[#This Row],[preco_sugerido]]*fact_anuncios[[#This Row],[perc_comissao]]</f>
        <v>70.36098840748231</v>
      </c>
      <c r="N151" s="9">
        <v>20.95</v>
      </c>
      <c r="O151" s="4">
        <v>0.08</v>
      </c>
      <c r="P151" s="9">
        <f>fact_anuncios[[#This Row],[valor_tipo]]+fact_anuncios[[#This Row],[frete]]</f>
        <v>91.310988407482313</v>
      </c>
      <c r="Q151" s="9">
        <f>(fact_anuncios[[#This Row],[valor_tipo]]+fact_anuncios[[#This Row],[frete]])*(1+fact_anuncios[[#This Row],[markup_promo]])</f>
        <v>98.615867480080908</v>
      </c>
      <c r="R151" s="9">
        <f>((fact_anuncios[[#This Row],[valor_min_produto]] / (1-fact_anuncios[[#This Row],[markup_promo]])) +fact_anuncios[[#This Row],[frete]]) / (1 - fact_anuncios[[#This Row],[perc_comissao]])</f>
        <v>502.57848862487361</v>
      </c>
      <c r="S151" s="9">
        <f>(fact_anuncios[[#This Row],[valor_min_produto]] + fact_anuncios[[#This Row],[frete]]) / (1 - fact_anuncios[[#This Row],[perc_comissao]])</f>
        <v>464.32104674418611</v>
      </c>
      <c r="T151" s="9">
        <f>fact_anuncios[[#This Row],[atacado_1]] * 1.0254</f>
        <v>476.11480133148848</v>
      </c>
      <c r="U151" s="1" t="s">
        <v>7</v>
      </c>
    </row>
    <row r="152" spans="1:21" x14ac:dyDescent="0.3">
      <c r="A152" s="1">
        <v>1081</v>
      </c>
      <c r="B152" s="2" t="s">
        <v>278</v>
      </c>
      <c r="C152" s="2" t="s">
        <v>415</v>
      </c>
      <c r="D152" s="6" t="s">
        <v>516</v>
      </c>
      <c r="E152" s="1">
        <v>10</v>
      </c>
      <c r="F152" s="8">
        <v>12.880100000000001</v>
      </c>
      <c r="G152" s="8">
        <f>fact_anuncios[[#This Row],[preco_unit]]*(1-fact_anuncios[[#This Row],[perc_desconto_min]])</f>
        <v>11.785291500000001</v>
      </c>
      <c r="H152" s="8">
        <f>fact_anuncios[[#This Row],[preco_unit]]*fact_anuncios[[#This Row],[quantidade_anuncio]]</f>
        <v>128.80100000000002</v>
      </c>
      <c r="I152" s="1">
        <v>8.5000000000000006E-2</v>
      </c>
      <c r="J152" s="8">
        <f>fact_anuncios[[#This Row],[preco_min_unit]]*fact_anuncios[[#This Row],[quantidade_anuncio]]</f>
        <v>117.85291500000001</v>
      </c>
      <c r="K152" s="1" t="s">
        <v>19</v>
      </c>
      <c r="L152" s="1">
        <v>0.12</v>
      </c>
      <c r="M152" s="9">
        <f>fact_anuncios[[#This Row],[preco_sugerido]]*fact_anuncios[[#This Row],[perc_comissao]]</f>
        <v>19.984226531620553</v>
      </c>
      <c r="N152" s="9">
        <v>18.45</v>
      </c>
      <c r="O152" s="4">
        <v>0.08</v>
      </c>
      <c r="P152" s="9">
        <f>fact_anuncios[[#This Row],[valor_tipo]]+fact_anuncios[[#This Row],[frete]]</f>
        <v>38.434226531620553</v>
      </c>
      <c r="Q152" s="9">
        <f>(fact_anuncios[[#This Row],[valor_tipo]]+fact_anuncios[[#This Row],[frete]])*(1+fact_anuncios[[#This Row],[markup_promo]])</f>
        <v>41.508964654150198</v>
      </c>
      <c r="R152" s="9">
        <f>((fact_anuncios[[#This Row],[valor_min_produto]] / (1-fact_anuncios[[#This Row],[markup_promo]])) +fact_anuncios[[#This Row],[frete]]) / (1 - fact_anuncios[[#This Row],[perc_comissao]])</f>
        <v>166.53522109683794</v>
      </c>
      <c r="S152" s="9">
        <f>(fact_anuncios[[#This Row],[valor_min_produto]] + fact_anuncios[[#This Row],[frete]]) / (1 - fact_anuncios[[#This Row],[perc_comissao]])</f>
        <v>154.88967613636365</v>
      </c>
      <c r="T152" s="9">
        <f>fact_anuncios[[#This Row],[atacado_1]] * 1.0254</f>
        <v>158.82387391022729</v>
      </c>
      <c r="U152" s="1" t="s">
        <v>4</v>
      </c>
    </row>
    <row r="153" spans="1:21" x14ac:dyDescent="0.3">
      <c r="A153" s="1">
        <v>1081</v>
      </c>
      <c r="B153" s="2" t="s">
        <v>279</v>
      </c>
      <c r="C153" s="2" t="s">
        <v>416</v>
      </c>
      <c r="D153" s="6" t="s">
        <v>516</v>
      </c>
      <c r="E153" s="1">
        <v>10</v>
      </c>
      <c r="F153" s="8">
        <v>12.880100000000001</v>
      </c>
      <c r="G153" s="8">
        <f>fact_anuncios[[#This Row],[preco_unit]]*(1-fact_anuncios[[#This Row],[perc_desconto_min]])</f>
        <v>11.785291500000001</v>
      </c>
      <c r="H153" s="8">
        <f>fact_anuncios[[#This Row],[preco_unit]]*fact_anuncios[[#This Row],[quantidade_anuncio]]</f>
        <v>128.80100000000002</v>
      </c>
      <c r="I153" s="1">
        <v>8.5000000000000006E-2</v>
      </c>
      <c r="J153" s="8">
        <f>fact_anuncios[[#This Row],[preco_min_unit]]*fact_anuncios[[#This Row],[quantidade_anuncio]]</f>
        <v>117.85291500000001</v>
      </c>
      <c r="K153" s="1" t="s">
        <v>19</v>
      </c>
      <c r="L153" s="1">
        <v>0.12</v>
      </c>
      <c r="M153" s="9">
        <f>fact_anuncios[[#This Row],[preco_sugerido]]*fact_anuncios[[#This Row],[perc_comissao]]</f>
        <v>19.984226531620553</v>
      </c>
      <c r="N153" s="9">
        <v>18.45</v>
      </c>
      <c r="O153" s="4">
        <v>0.08</v>
      </c>
      <c r="P153" s="9">
        <f>fact_anuncios[[#This Row],[valor_tipo]]+fact_anuncios[[#This Row],[frete]]</f>
        <v>38.434226531620553</v>
      </c>
      <c r="Q153" s="9">
        <f>(fact_anuncios[[#This Row],[valor_tipo]]+fact_anuncios[[#This Row],[frete]])*(1+fact_anuncios[[#This Row],[markup_promo]])</f>
        <v>41.508964654150198</v>
      </c>
      <c r="R153" s="9">
        <f>((fact_anuncios[[#This Row],[valor_min_produto]] / (1-fact_anuncios[[#This Row],[markup_promo]])) +fact_anuncios[[#This Row],[frete]]) / (1 - fact_anuncios[[#This Row],[perc_comissao]])</f>
        <v>166.53522109683794</v>
      </c>
      <c r="S153" s="9">
        <f>(fact_anuncios[[#This Row],[valor_min_produto]] + fact_anuncios[[#This Row],[frete]]) / (1 - fact_anuncios[[#This Row],[perc_comissao]])</f>
        <v>154.88967613636365</v>
      </c>
      <c r="T153" s="9">
        <f>fact_anuncios[[#This Row],[atacado_1]] * 1.0254</f>
        <v>158.82387391022729</v>
      </c>
      <c r="U153" s="1" t="s">
        <v>4</v>
      </c>
    </row>
    <row r="154" spans="1:21" x14ac:dyDescent="0.3">
      <c r="A154" s="1">
        <v>1081</v>
      </c>
      <c r="B154" s="2" t="s">
        <v>280</v>
      </c>
      <c r="C154" s="2" t="s">
        <v>417</v>
      </c>
      <c r="D154" s="6" t="s">
        <v>516</v>
      </c>
      <c r="E154" s="1">
        <v>10</v>
      </c>
      <c r="F154" s="8">
        <v>12.880100000000001</v>
      </c>
      <c r="G154" s="8">
        <f>fact_anuncios[[#This Row],[preco_unit]]*(1-fact_anuncios[[#This Row],[perc_desconto_min]])</f>
        <v>11.785291500000001</v>
      </c>
      <c r="H154" s="8">
        <f>fact_anuncios[[#This Row],[preco_unit]]*fact_anuncios[[#This Row],[quantidade_anuncio]]</f>
        <v>128.80100000000002</v>
      </c>
      <c r="I154" s="1">
        <v>8.5000000000000006E-2</v>
      </c>
      <c r="J154" s="8">
        <f>fact_anuncios[[#This Row],[preco_min_unit]]*fact_anuncios[[#This Row],[quantidade_anuncio]]</f>
        <v>117.85291500000001</v>
      </c>
      <c r="K154" s="1" t="s">
        <v>18</v>
      </c>
      <c r="L154" s="1">
        <v>0.17</v>
      </c>
      <c r="M154" s="9">
        <f>fact_anuncios[[#This Row],[preco_sugerido]]*fact_anuncios[[#This Row],[perc_comissao]]</f>
        <v>30.487553103719232</v>
      </c>
      <c r="N154" s="9">
        <v>20.75</v>
      </c>
      <c r="O154" s="4">
        <v>0.08</v>
      </c>
      <c r="P154" s="9">
        <f>fact_anuncios[[#This Row],[valor_tipo]]+fact_anuncios[[#This Row],[frete]]</f>
        <v>51.237553103719236</v>
      </c>
      <c r="Q154" s="9">
        <f>(fact_anuncios[[#This Row],[valor_tipo]]+fact_anuncios[[#This Row],[frete]])*(1+fact_anuncios[[#This Row],[markup_promo]])</f>
        <v>55.336557352016776</v>
      </c>
      <c r="R154" s="9">
        <f>((fact_anuncios[[#This Row],[valor_min_produto]] / (1-fact_anuncios[[#This Row],[markup_promo]])) +fact_anuncios[[#This Row],[frete]]) / (1 - fact_anuncios[[#This Row],[perc_comissao]])</f>
        <v>179.33854766893666</v>
      </c>
      <c r="S154" s="9">
        <f>(fact_anuncios[[#This Row],[valor_min_produto]] + fact_anuncios[[#This Row],[frete]]) / (1 - fact_anuncios[[#This Row],[perc_comissao]])</f>
        <v>166.9914638554217</v>
      </c>
      <c r="T154" s="9">
        <f>fact_anuncios[[#This Row],[atacado_1]] * 1.0254</f>
        <v>171.23304703734942</v>
      </c>
      <c r="U154" s="1" t="s">
        <v>4</v>
      </c>
    </row>
    <row r="155" spans="1:21" x14ac:dyDescent="0.3">
      <c r="A155" s="1">
        <v>1081</v>
      </c>
      <c r="B155" s="2" t="s">
        <v>281</v>
      </c>
      <c r="C155" s="2" t="s">
        <v>418</v>
      </c>
      <c r="D155" s="6" t="s">
        <v>516</v>
      </c>
      <c r="E155" s="1">
        <v>10</v>
      </c>
      <c r="F155" s="8">
        <v>12.880100000000001</v>
      </c>
      <c r="G155" s="8">
        <f>fact_anuncios[[#This Row],[preco_unit]]*(1-fact_anuncios[[#This Row],[perc_desconto_min]])</f>
        <v>11.785291500000001</v>
      </c>
      <c r="H155" s="8">
        <f>fact_anuncios[[#This Row],[preco_unit]]*fact_anuncios[[#This Row],[quantidade_anuncio]]</f>
        <v>128.80100000000002</v>
      </c>
      <c r="I155" s="1">
        <v>8.5000000000000006E-2</v>
      </c>
      <c r="J155" s="8">
        <f>fact_anuncios[[#This Row],[preco_min_unit]]*fact_anuncios[[#This Row],[quantidade_anuncio]]</f>
        <v>117.85291500000001</v>
      </c>
      <c r="K155" s="1" t="s">
        <v>18</v>
      </c>
      <c r="L155" s="1">
        <v>0.17</v>
      </c>
      <c r="M155" s="9">
        <f>fact_anuncios[[#This Row],[preco_sugerido]]*fact_anuncios[[#This Row],[perc_comissao]]</f>
        <v>30.487553103719232</v>
      </c>
      <c r="N155" s="9">
        <v>20.75</v>
      </c>
      <c r="O155" s="4">
        <v>0.08</v>
      </c>
      <c r="P155" s="9">
        <f>fact_anuncios[[#This Row],[valor_tipo]]+fact_anuncios[[#This Row],[frete]]</f>
        <v>51.237553103719236</v>
      </c>
      <c r="Q155" s="9">
        <f>(fact_anuncios[[#This Row],[valor_tipo]]+fact_anuncios[[#This Row],[frete]])*(1+fact_anuncios[[#This Row],[markup_promo]])</f>
        <v>55.336557352016776</v>
      </c>
      <c r="R155" s="9">
        <f>((fact_anuncios[[#This Row],[valor_min_produto]] / (1-fact_anuncios[[#This Row],[markup_promo]])) +fact_anuncios[[#This Row],[frete]]) / (1 - fact_anuncios[[#This Row],[perc_comissao]])</f>
        <v>179.33854766893666</v>
      </c>
      <c r="S155" s="9">
        <f>(fact_anuncios[[#This Row],[valor_min_produto]] + fact_anuncios[[#This Row],[frete]]) / (1 - fact_anuncios[[#This Row],[perc_comissao]])</f>
        <v>166.9914638554217</v>
      </c>
      <c r="T155" s="9">
        <f>fact_anuncios[[#This Row],[atacado_1]] * 1.0254</f>
        <v>171.23304703734942</v>
      </c>
      <c r="U155" s="1" t="s">
        <v>4</v>
      </c>
    </row>
    <row r="156" spans="1:21" x14ac:dyDescent="0.3">
      <c r="A156" s="1">
        <v>1082</v>
      </c>
      <c r="B156" s="2" t="s">
        <v>174</v>
      </c>
      <c r="C156" s="2" t="s">
        <v>419</v>
      </c>
      <c r="D156" s="6" t="s">
        <v>517</v>
      </c>
      <c r="E156" s="1">
        <v>1</v>
      </c>
      <c r="F156" s="8">
        <v>539.85170000000005</v>
      </c>
      <c r="G156" s="8">
        <f>fact_anuncios[[#This Row],[preco_unit]]*(1-fact_anuncios[[#This Row],[perc_desconto_min]])</f>
        <v>512.85911499999997</v>
      </c>
      <c r="H156" s="8">
        <f>fact_anuncios[[#This Row],[preco_unit]]*fact_anuncios[[#This Row],[quantidade_anuncio]]</f>
        <v>539.85170000000005</v>
      </c>
      <c r="I156" s="1">
        <v>0.05</v>
      </c>
      <c r="J156" s="8">
        <f>fact_anuncios[[#This Row],[preco_min_unit]]*fact_anuncios[[#This Row],[quantidade_anuncio]]</f>
        <v>512.85911499999997</v>
      </c>
      <c r="K156" s="1" t="s">
        <v>18</v>
      </c>
      <c r="L156" s="1">
        <v>0.14000000000000001</v>
      </c>
      <c r="M156" s="9">
        <f>fact_anuncios[[#This Row],[preco_sugerido]]*fact_anuncios[[#This Row],[perc_comissao]]</f>
        <v>94.598579499494434</v>
      </c>
      <c r="N156" s="9">
        <v>23.65</v>
      </c>
      <c r="O156" s="4">
        <v>0.08</v>
      </c>
      <c r="P156" s="9">
        <f>fact_anuncios[[#This Row],[valor_tipo]]+fact_anuncios[[#This Row],[frete]]</f>
        <v>118.24857949949444</v>
      </c>
      <c r="Q156" s="9">
        <f>(fact_anuncios[[#This Row],[valor_tipo]]+fact_anuncios[[#This Row],[frete]])*(1+fact_anuncios[[#This Row],[markup_promo]])</f>
        <v>127.70846585945401</v>
      </c>
      <c r="R156" s="9">
        <f>((fact_anuncios[[#This Row],[valor_min_produto]] / (1-fact_anuncios[[#This Row],[markup_promo]])) +fact_anuncios[[#This Row],[frete]]) / (1 - fact_anuncios[[#This Row],[perc_comissao]])</f>
        <v>675.70413928210303</v>
      </c>
      <c r="S156" s="9">
        <f>(fact_anuncios[[#This Row],[valor_min_produto]] + fact_anuncios[[#This Row],[frete]]) / (1 - fact_anuncios[[#This Row],[perc_comissao]])</f>
        <v>623.84780813953489</v>
      </c>
      <c r="T156" s="9">
        <f>fact_anuncios[[#This Row],[atacado_1]] * 1.0254</f>
        <v>639.69354246627915</v>
      </c>
      <c r="U156" s="1" t="s">
        <v>20</v>
      </c>
    </row>
    <row r="157" spans="1:21" x14ac:dyDescent="0.3">
      <c r="A157" s="1">
        <v>1083</v>
      </c>
      <c r="B157" s="2" t="s">
        <v>263</v>
      </c>
      <c r="C157" s="2" t="s">
        <v>420</v>
      </c>
      <c r="D157" s="6" t="s">
        <v>545</v>
      </c>
      <c r="E157" s="1">
        <v>2</v>
      </c>
      <c r="F157" s="8">
        <v>151.2191</v>
      </c>
      <c r="G157" s="8">
        <f>fact_anuncios[[#This Row],[preco_unit]]*(1-fact_anuncios[[#This Row],[perc_desconto_min]])</f>
        <v>139.12157200000001</v>
      </c>
      <c r="H157" s="8">
        <f>fact_anuncios[[#This Row],[preco_unit]]*fact_anuncios[[#This Row],[quantidade_anuncio]]</f>
        <v>302.43819999999999</v>
      </c>
      <c r="I157" s="1">
        <v>0.08</v>
      </c>
      <c r="J157" s="8">
        <f>fact_anuncios[[#This Row],[preco_min_unit]]*fact_anuncios[[#This Row],[quantidade_anuncio]]</f>
        <v>278.24314400000003</v>
      </c>
      <c r="K157" s="1" t="s">
        <v>18</v>
      </c>
      <c r="L157" s="1">
        <v>0.13500000000000001</v>
      </c>
      <c r="M157" s="9">
        <f>fact_anuncios[[#This Row],[preco_sugerido]]*fact_anuncios[[#This Row],[perc_comissao]]</f>
        <v>51.048447398843926</v>
      </c>
      <c r="N157" s="9">
        <v>24.65</v>
      </c>
      <c r="O157" s="4">
        <v>0.08</v>
      </c>
      <c r="P157" s="9">
        <f>fact_anuncios[[#This Row],[valor_tipo]]+fact_anuncios[[#This Row],[frete]]</f>
        <v>75.698447398843925</v>
      </c>
      <c r="Q157" s="9">
        <f>(fact_anuncios[[#This Row],[valor_tipo]]+fact_anuncios[[#This Row],[frete]])*(1+fact_anuncios[[#This Row],[markup_promo]])</f>
        <v>81.75432319075145</v>
      </c>
      <c r="R157" s="9">
        <f>((fact_anuncios[[#This Row],[valor_min_produto]] / (1-fact_anuncios[[#This Row],[markup_promo]])) +fact_anuncios[[#This Row],[frete]]) / (1 - fact_anuncios[[#This Row],[perc_comissao]])</f>
        <v>378.13664739884388</v>
      </c>
      <c r="S157" s="9">
        <f>(fact_anuncios[[#This Row],[valor_min_produto]] + fact_anuncios[[#This Row],[frete]]) / (1 - fact_anuncios[[#This Row],[perc_comissao]])</f>
        <v>350.16548439306359</v>
      </c>
      <c r="T157" s="9">
        <f>fact_anuncios[[#This Row],[atacado_1]] * 1.0254</f>
        <v>359.05968769664742</v>
      </c>
      <c r="U157" s="1" t="s">
        <v>5</v>
      </c>
    </row>
    <row r="158" spans="1:21" x14ac:dyDescent="0.3">
      <c r="A158" s="1">
        <v>1083</v>
      </c>
      <c r="B158" s="2" t="s">
        <v>264</v>
      </c>
      <c r="C158" s="2" t="s">
        <v>421</v>
      </c>
      <c r="D158" s="6" t="s">
        <v>545</v>
      </c>
      <c r="E158" s="1">
        <v>2</v>
      </c>
      <c r="F158" s="8">
        <v>151.2191</v>
      </c>
      <c r="G158" s="8">
        <f>fact_anuncios[[#This Row],[preco_unit]]*(1-fact_anuncios[[#This Row],[perc_desconto_min]])</f>
        <v>139.12157200000001</v>
      </c>
      <c r="H158" s="8">
        <f>fact_anuncios[[#This Row],[preco_unit]]*fact_anuncios[[#This Row],[quantidade_anuncio]]</f>
        <v>302.43819999999999</v>
      </c>
      <c r="I158" s="1">
        <v>0.08</v>
      </c>
      <c r="J158" s="8">
        <f>fact_anuncios[[#This Row],[preco_min_unit]]*fact_anuncios[[#This Row],[quantidade_anuncio]]</f>
        <v>278.24314400000003</v>
      </c>
      <c r="K158" s="1" t="s">
        <v>18</v>
      </c>
      <c r="L158" s="1">
        <v>0.13500000000000001</v>
      </c>
      <c r="M158" s="9">
        <f>fact_anuncios[[#This Row],[preco_sugerido]]*fact_anuncios[[#This Row],[perc_comissao]]</f>
        <v>51.048447398843926</v>
      </c>
      <c r="N158" s="9">
        <v>24.65</v>
      </c>
      <c r="O158" s="4">
        <v>0.08</v>
      </c>
      <c r="P158" s="9">
        <f>fact_anuncios[[#This Row],[valor_tipo]]+fact_anuncios[[#This Row],[frete]]</f>
        <v>75.698447398843925</v>
      </c>
      <c r="Q158" s="9">
        <f>(fact_anuncios[[#This Row],[valor_tipo]]+fact_anuncios[[#This Row],[frete]])*(1+fact_anuncios[[#This Row],[markup_promo]])</f>
        <v>81.75432319075145</v>
      </c>
      <c r="R158" s="9">
        <f>((fact_anuncios[[#This Row],[valor_min_produto]] / (1-fact_anuncios[[#This Row],[markup_promo]])) +fact_anuncios[[#This Row],[frete]]) / (1 - fact_anuncios[[#This Row],[perc_comissao]])</f>
        <v>378.13664739884388</v>
      </c>
      <c r="S158" s="9">
        <f>(fact_anuncios[[#This Row],[valor_min_produto]] + fact_anuncios[[#This Row],[frete]]) / (1 - fact_anuncios[[#This Row],[perc_comissao]])</f>
        <v>350.16548439306359</v>
      </c>
      <c r="T158" s="9">
        <f>fact_anuncios[[#This Row],[atacado_1]] * 1.0254</f>
        <v>359.05968769664742</v>
      </c>
      <c r="U158" s="1" t="s">
        <v>5</v>
      </c>
    </row>
    <row r="159" spans="1:21" x14ac:dyDescent="0.3">
      <c r="A159" s="1">
        <v>1085</v>
      </c>
      <c r="B159" s="2" t="s">
        <v>179</v>
      </c>
      <c r="C159" s="2" t="s">
        <v>422</v>
      </c>
      <c r="D159" s="6" t="s">
        <v>489</v>
      </c>
      <c r="E159" s="1">
        <v>10</v>
      </c>
      <c r="F159" s="8">
        <v>5.8239999999999998</v>
      </c>
      <c r="G159" s="8">
        <f>fact_anuncios[[#This Row],[preco_unit]]*(1-fact_anuncios[[#This Row],[perc_desconto_min]])</f>
        <v>5.2998399999999997</v>
      </c>
      <c r="H159" s="8">
        <f>fact_anuncios[[#This Row],[preco_unit]]*fact_anuncios[[#This Row],[quantidade_anuncio]]</f>
        <v>58.239999999999995</v>
      </c>
      <c r="I159" s="1">
        <v>0.09</v>
      </c>
      <c r="J159" s="8">
        <f>fact_anuncios[[#This Row],[preco_min_unit]]*fact_anuncios[[#This Row],[quantidade_anuncio]]</f>
        <v>52.998399999999997</v>
      </c>
      <c r="K159" s="1" t="s">
        <v>19</v>
      </c>
      <c r="L159" s="1">
        <v>0.12</v>
      </c>
      <c r="M159" s="9">
        <f>fact_anuncios[[#This Row],[preco_sugerido]]*fact_anuncios[[#This Row],[perc_comissao]]</f>
        <v>10.725948616600789</v>
      </c>
      <c r="N159" s="9">
        <v>21.05</v>
      </c>
      <c r="O159" s="4">
        <v>0.08</v>
      </c>
      <c r="P159" s="9">
        <f>fact_anuncios[[#This Row],[valor_tipo]]+fact_anuncios[[#This Row],[frete]]</f>
        <v>31.77594861660079</v>
      </c>
      <c r="Q159" s="9">
        <f>(fact_anuncios[[#This Row],[valor_tipo]]+fact_anuncios[[#This Row],[frete]])*(1+fact_anuncios[[#This Row],[markup_promo]])</f>
        <v>34.318024505928854</v>
      </c>
      <c r="R159" s="9">
        <f>((fact_anuncios[[#This Row],[valor_min_produto]] / (1-fact_anuncios[[#This Row],[markup_promo]])) +fact_anuncios[[#This Row],[frete]]) / (1 - fact_anuncios[[#This Row],[perc_comissao]])</f>
        <v>89.382905138339908</v>
      </c>
      <c r="S159" s="9">
        <f>(fact_anuncios[[#This Row],[valor_min_produto]] + fact_anuncios[[#This Row],[frete]]) / (1 - fact_anuncios[[#This Row],[perc_comissao]])</f>
        <v>84.145909090909086</v>
      </c>
      <c r="T159" s="9">
        <f>fact_anuncios[[#This Row],[atacado_1]] * 1.0254</f>
        <v>86.283215181818179</v>
      </c>
      <c r="U159" s="1" t="s">
        <v>4</v>
      </c>
    </row>
    <row r="160" spans="1:21" x14ac:dyDescent="0.3">
      <c r="A160" s="1">
        <v>1086</v>
      </c>
      <c r="B160" s="2" t="s">
        <v>188</v>
      </c>
      <c r="C160" s="2" t="s">
        <v>423</v>
      </c>
      <c r="D160" s="6" t="s">
        <v>518</v>
      </c>
      <c r="E160" s="1">
        <v>5</v>
      </c>
      <c r="F160" s="8">
        <v>351.12979999999999</v>
      </c>
      <c r="G160" s="8">
        <f>fact_anuncios[[#This Row],[preco_unit]]*(1-fact_anuncios[[#This Row],[perc_desconto_min]])</f>
        <v>325.14619479999999</v>
      </c>
      <c r="H160" s="8">
        <f>fact_anuncios[[#This Row],[preco_unit]]*fact_anuncios[[#This Row],[quantidade_anuncio]]</f>
        <v>1755.6489999999999</v>
      </c>
      <c r="I160" s="1">
        <v>7.3999999999999996E-2</v>
      </c>
      <c r="J160" s="8">
        <f>fact_anuncios[[#This Row],[preco_min_unit]]*fact_anuncios[[#This Row],[quantidade_anuncio]]</f>
        <v>1625.7309740000001</v>
      </c>
      <c r="K160" s="1" t="s">
        <v>18</v>
      </c>
      <c r="L160" s="1">
        <v>0.17</v>
      </c>
      <c r="M160" s="9">
        <f>fact_anuncios[[#This Row],[preco_sugerido]]*fact_anuncios[[#This Row],[perc_comissao]]</f>
        <v>366.55459085908853</v>
      </c>
      <c r="N160" s="9">
        <v>22.55</v>
      </c>
      <c r="O160" s="4">
        <v>0.08</v>
      </c>
      <c r="P160" s="9">
        <f>fact_anuncios[[#This Row],[valor_tipo]]+fact_anuncios[[#This Row],[frete]]</f>
        <v>389.10459085908855</v>
      </c>
      <c r="Q160" s="9">
        <f>(fact_anuncios[[#This Row],[valor_tipo]]+fact_anuncios[[#This Row],[frete]])*(1+fact_anuncios[[#This Row],[markup_promo]])</f>
        <v>420.23295812781566</v>
      </c>
      <c r="R160" s="9">
        <f>((fact_anuncios[[#This Row],[valor_min_produto]] / (1-fact_anuncios[[#This Row],[markup_promo]])) +fact_anuncios[[#This Row],[frete]]) / (1 - fact_anuncios[[#This Row],[perc_comissao]])</f>
        <v>2156.203475641697</v>
      </c>
      <c r="S160" s="9">
        <f>(fact_anuncios[[#This Row],[valor_min_produto]] + fact_anuncios[[#This Row],[frete]]) / (1 - fact_anuncios[[#This Row],[perc_comissao]])</f>
        <v>1985.8806915662651</v>
      </c>
      <c r="T160" s="9">
        <f>fact_anuncios[[#This Row],[atacado_1]] * 1.0254</f>
        <v>2036.3220611320485</v>
      </c>
      <c r="U160" s="1" t="s">
        <v>7</v>
      </c>
    </row>
    <row r="161" spans="1:21" x14ac:dyDescent="0.3">
      <c r="A161" s="1">
        <v>1086</v>
      </c>
      <c r="B161" s="2" t="s">
        <v>189</v>
      </c>
      <c r="C161" s="2" t="s">
        <v>424</v>
      </c>
      <c r="D161" s="6" t="s">
        <v>518</v>
      </c>
      <c r="E161" s="1">
        <v>1</v>
      </c>
      <c r="F161" s="8">
        <v>351.12979999999999</v>
      </c>
      <c r="G161" s="8">
        <f>fact_anuncios[[#This Row],[preco_unit]]*(1-fact_anuncios[[#This Row],[perc_desconto_min]])</f>
        <v>325.14619479999999</v>
      </c>
      <c r="H161" s="8">
        <f>fact_anuncios[[#This Row],[preco_unit]]*fact_anuncios[[#This Row],[quantidade_anuncio]]</f>
        <v>351.12979999999999</v>
      </c>
      <c r="I161" s="1">
        <v>7.3999999999999996E-2</v>
      </c>
      <c r="J161" s="8">
        <f>fact_anuncios[[#This Row],[preco_min_unit]]*fact_anuncios[[#This Row],[quantidade_anuncio]]</f>
        <v>325.14619479999999</v>
      </c>
      <c r="K161" s="1" t="s">
        <v>18</v>
      </c>
      <c r="L161" s="1">
        <v>0.14000000000000001</v>
      </c>
      <c r="M161" s="9">
        <f>fact_anuncios[[#This Row],[preco_sugerido]]*fact_anuncios[[#This Row],[perc_comissao]]</f>
        <v>60.943917178968661</v>
      </c>
      <c r="N161" s="9">
        <v>20.95</v>
      </c>
      <c r="O161" s="4">
        <v>0.08</v>
      </c>
      <c r="P161" s="9">
        <f>fact_anuncios[[#This Row],[valor_tipo]]+fact_anuncios[[#This Row],[frete]]</f>
        <v>81.893917178968664</v>
      </c>
      <c r="Q161" s="9">
        <f>(fact_anuncios[[#This Row],[valor_tipo]]+fact_anuncios[[#This Row],[frete]])*(1+fact_anuncios[[#This Row],[markup_promo]])</f>
        <v>88.445430553286158</v>
      </c>
      <c r="R161" s="9">
        <f>((fact_anuncios[[#This Row],[valor_min_produto]] / (1-fact_anuncios[[#This Row],[markup_promo]])) +fact_anuncios[[#This Row],[frete]]) / (1 - fact_anuncios[[#This Row],[perc_comissao]])</f>
        <v>435.31369413549038</v>
      </c>
      <c r="S161" s="9">
        <f>(fact_anuncios[[#This Row],[valor_min_produto]] + fact_anuncios[[#This Row],[frete]]) / (1 - fact_anuncios[[#This Row],[perc_comissao]])</f>
        <v>402.43743581395347</v>
      </c>
      <c r="T161" s="9">
        <f>fact_anuncios[[#This Row],[atacado_1]] * 1.0254</f>
        <v>412.65934668362792</v>
      </c>
      <c r="U161" s="1" t="s">
        <v>7</v>
      </c>
    </row>
    <row r="162" spans="1:21" x14ac:dyDescent="0.3">
      <c r="A162" s="1">
        <v>1087</v>
      </c>
      <c r="B162" s="2" t="s">
        <v>196</v>
      </c>
      <c r="C162" s="2" t="s">
        <v>425</v>
      </c>
      <c r="D162" s="6" t="s">
        <v>519</v>
      </c>
      <c r="E162" s="1">
        <v>5</v>
      </c>
      <c r="F162" s="8">
        <v>408.61750000000001</v>
      </c>
      <c r="G162" s="8">
        <f>fact_anuncios[[#This Row],[preco_unit]]*(1-fact_anuncios[[#This Row],[perc_desconto_min]])</f>
        <v>378.37980500000003</v>
      </c>
      <c r="H162" s="8">
        <f>fact_anuncios[[#This Row],[preco_unit]]*fact_anuncios[[#This Row],[quantidade_anuncio]]</f>
        <v>2043.0875000000001</v>
      </c>
      <c r="I162" s="1">
        <v>7.3999999999999996E-2</v>
      </c>
      <c r="J162" s="8">
        <f>fact_anuncios[[#This Row],[preco_min_unit]]*fact_anuncios[[#This Row],[quantidade_anuncio]]</f>
        <v>1891.8990250000002</v>
      </c>
      <c r="K162" s="1" t="s">
        <v>18</v>
      </c>
      <c r="L162" s="1">
        <v>0.17</v>
      </c>
      <c r="M162" s="9">
        <f>fact_anuncios[[#This Row],[preco_sugerido]]*fact_anuncios[[#This Row],[perc_comissao]]</f>
        <v>425.81149063645898</v>
      </c>
      <c r="N162" s="9">
        <v>22.55</v>
      </c>
      <c r="O162" s="4">
        <v>0.08</v>
      </c>
      <c r="P162" s="9">
        <f>fact_anuncios[[#This Row],[valor_tipo]]+fact_anuncios[[#This Row],[frete]]</f>
        <v>448.361490636459</v>
      </c>
      <c r="Q162" s="9">
        <f>(fact_anuncios[[#This Row],[valor_tipo]]+fact_anuncios[[#This Row],[frete]])*(1+fact_anuncios[[#This Row],[markup_promo]])</f>
        <v>484.23040988737574</v>
      </c>
      <c r="R162" s="9">
        <f>((fact_anuncios[[#This Row],[valor_min_produto]] / (1-fact_anuncios[[#This Row],[markup_promo]])) +fact_anuncios[[#This Row],[frete]]) / (1 - fact_anuncios[[#This Row],[perc_comissao]])</f>
        <v>2504.7734743321116</v>
      </c>
      <c r="S162" s="9">
        <f>(fact_anuncios[[#This Row],[valor_min_produto]] + fact_anuncios[[#This Row],[frete]]) / (1 - fact_anuncios[[#This Row],[perc_comissao]])</f>
        <v>2306.565090361446</v>
      </c>
      <c r="T162" s="9">
        <f>fact_anuncios[[#This Row],[atacado_1]] * 1.0254</f>
        <v>2365.1518436566271</v>
      </c>
      <c r="U162" s="1" t="s">
        <v>7</v>
      </c>
    </row>
    <row r="163" spans="1:21" x14ac:dyDescent="0.3">
      <c r="A163" s="1">
        <v>1087</v>
      </c>
      <c r="B163" s="2" t="s">
        <v>197</v>
      </c>
      <c r="C163" s="2" t="s">
        <v>426</v>
      </c>
      <c r="D163" s="6" t="s">
        <v>519</v>
      </c>
      <c r="E163" s="1">
        <v>1</v>
      </c>
      <c r="F163" s="8">
        <v>408.61750000000001</v>
      </c>
      <c r="G163" s="8">
        <f>fact_anuncios[[#This Row],[preco_unit]]*(1-fact_anuncios[[#This Row],[perc_desconto_min]])</f>
        <v>378.37980499999998</v>
      </c>
      <c r="H163" s="8">
        <f>fact_anuncios[[#This Row],[preco_unit]]*fact_anuncios[[#This Row],[quantidade_anuncio]]</f>
        <v>408.61750000000001</v>
      </c>
      <c r="I163" s="1">
        <v>7.400000000000001E-2</v>
      </c>
      <c r="J163" s="8">
        <f>fact_anuncios[[#This Row],[preco_min_unit]]*fact_anuncios[[#This Row],[quantidade_anuncio]]</f>
        <v>378.37980499999998</v>
      </c>
      <c r="K163" s="1" t="s">
        <v>18</v>
      </c>
      <c r="L163" s="1">
        <v>0.14000000000000001</v>
      </c>
      <c r="M163" s="9">
        <f>fact_anuncios[[#This Row],[preco_sugerido]]*fact_anuncios[[#This Row],[perc_comissao]]</f>
        <v>70.363413422649145</v>
      </c>
      <c r="N163" s="9">
        <v>20.95</v>
      </c>
      <c r="O163" s="4">
        <v>0.08</v>
      </c>
      <c r="P163" s="9">
        <f>fact_anuncios[[#This Row],[valor_tipo]]+fact_anuncios[[#This Row],[frete]]</f>
        <v>91.313413422649148</v>
      </c>
      <c r="Q163" s="9">
        <f>(fact_anuncios[[#This Row],[valor_tipo]]+fact_anuncios[[#This Row],[frete]])*(1+fact_anuncios[[#This Row],[markup_promo]])</f>
        <v>98.618486496461088</v>
      </c>
      <c r="R163" s="9">
        <f>((fact_anuncios[[#This Row],[valor_min_produto]] / (1-fact_anuncios[[#This Row],[markup_promo]])) +fact_anuncios[[#This Row],[frete]]) / (1 - fact_anuncios[[#This Row],[perc_comissao]])</f>
        <v>502.59581016177953</v>
      </c>
      <c r="S163" s="9">
        <f>(fact_anuncios[[#This Row],[valor_min_produto]] + fact_anuncios[[#This Row],[frete]]) / (1 - fact_anuncios[[#This Row],[perc_comissao]])</f>
        <v>464.33698255813948</v>
      </c>
      <c r="T163" s="9">
        <f>fact_anuncios[[#This Row],[atacado_1]] * 1.0254</f>
        <v>476.13114191511625</v>
      </c>
      <c r="U163" s="1" t="s">
        <v>7</v>
      </c>
    </row>
    <row r="164" spans="1:21" x14ac:dyDescent="0.3">
      <c r="A164" s="1">
        <v>1087</v>
      </c>
      <c r="B164" s="2" t="s">
        <v>198</v>
      </c>
      <c r="C164" s="2" t="s">
        <v>427</v>
      </c>
      <c r="D164" s="6" t="s">
        <v>519</v>
      </c>
      <c r="E164" s="1">
        <v>1</v>
      </c>
      <c r="F164" s="8">
        <v>408.61750000000001</v>
      </c>
      <c r="G164" s="8">
        <f>fact_anuncios[[#This Row],[preco_unit]]*(1-fact_anuncios[[#This Row],[perc_desconto_min]])</f>
        <v>378.37980499999998</v>
      </c>
      <c r="H164" s="8">
        <f>fact_anuncios[[#This Row],[preco_unit]]*fact_anuncios[[#This Row],[quantidade_anuncio]]</f>
        <v>408.61750000000001</v>
      </c>
      <c r="I164" s="1">
        <v>7.400000000000001E-2</v>
      </c>
      <c r="J164" s="8">
        <f>fact_anuncios[[#This Row],[preco_min_unit]]*fact_anuncios[[#This Row],[quantidade_anuncio]]</f>
        <v>378.37980499999998</v>
      </c>
      <c r="K164" s="1" t="s">
        <v>18</v>
      </c>
      <c r="L164" s="1">
        <v>0.17</v>
      </c>
      <c r="M164" s="9">
        <f>fact_anuncios[[#This Row],[preco_sugerido]]*fact_anuncios[[#This Row],[perc_comissao]]</f>
        <v>88.529527042954413</v>
      </c>
      <c r="N164" s="9">
        <v>20.95</v>
      </c>
      <c r="O164" s="4">
        <v>0.08</v>
      </c>
      <c r="P164" s="9">
        <f>fact_anuncios[[#This Row],[valor_tipo]]+fact_anuncios[[#This Row],[frete]]</f>
        <v>109.47952704295442</v>
      </c>
      <c r="Q164" s="9">
        <f>(fact_anuncios[[#This Row],[valor_tipo]]+fact_anuncios[[#This Row],[frete]])*(1+fact_anuncios[[#This Row],[markup_promo]])</f>
        <v>118.23788920639078</v>
      </c>
      <c r="R164" s="9">
        <f>((fact_anuncios[[#This Row],[valor_min_produto]] / (1-fact_anuncios[[#This Row],[markup_promo]])) +fact_anuncios[[#This Row],[frete]]) / (1 - fact_anuncios[[#This Row],[perc_comissao]])</f>
        <v>520.76192378208475</v>
      </c>
      <c r="S164" s="9">
        <f>(fact_anuncios[[#This Row],[valor_min_produto]] + fact_anuncios[[#This Row],[frete]]) / (1 - fact_anuncios[[#This Row],[perc_comissao]])</f>
        <v>481.12024698795182</v>
      </c>
      <c r="T164" s="9">
        <f>fact_anuncios[[#This Row],[atacado_1]] * 1.0254</f>
        <v>493.34070126144582</v>
      </c>
      <c r="U164" s="1" t="s">
        <v>7</v>
      </c>
    </row>
    <row r="165" spans="1:21" x14ac:dyDescent="0.3">
      <c r="A165" s="1">
        <v>1089</v>
      </c>
      <c r="B165" s="2" t="s">
        <v>154</v>
      </c>
      <c r="C165" s="2" t="s">
        <v>428</v>
      </c>
      <c r="D165" s="6" t="s">
        <v>520</v>
      </c>
      <c r="E165" s="1">
        <v>25</v>
      </c>
      <c r="F165" s="8">
        <v>12.347200000000001</v>
      </c>
      <c r="G165" s="8">
        <f>fact_anuncios[[#This Row],[preco_unit]]*(1-fact_anuncios[[#This Row],[perc_desconto_min]])</f>
        <v>11.729839999999999</v>
      </c>
      <c r="H165" s="8">
        <f>fact_anuncios[[#This Row],[preco_unit]]*fact_anuncios[[#This Row],[quantidade_anuncio]]</f>
        <v>308.68</v>
      </c>
      <c r="I165" s="1">
        <v>0.05</v>
      </c>
      <c r="J165" s="8">
        <f>fact_anuncios[[#This Row],[preco_min_unit]]*fact_anuncios[[#This Row],[quantidade_anuncio]]</f>
        <v>293.24599999999998</v>
      </c>
      <c r="K165" s="1" t="s">
        <v>18</v>
      </c>
      <c r="L165" s="1">
        <v>0.14000000000000001</v>
      </c>
      <c r="M165" s="9">
        <f>fact_anuncios[[#This Row],[preco_sugerido]]*fact_anuncios[[#This Row],[perc_comissao]]</f>
        <v>55.738827098078865</v>
      </c>
      <c r="N165" s="9">
        <v>23.65</v>
      </c>
      <c r="O165" s="4">
        <v>0.08</v>
      </c>
      <c r="P165" s="9">
        <f>fact_anuncios[[#This Row],[valor_tipo]]+fact_anuncios[[#This Row],[frete]]</f>
        <v>79.388827098078863</v>
      </c>
      <c r="Q165" s="9">
        <f>(fact_anuncios[[#This Row],[valor_tipo]]+fact_anuncios[[#This Row],[frete]])*(1+fact_anuncios[[#This Row],[markup_promo]])</f>
        <v>85.739933265925174</v>
      </c>
      <c r="R165" s="9">
        <f>((fact_anuncios[[#This Row],[valor_min_produto]] / (1-fact_anuncios[[#This Row],[markup_promo]])) +fact_anuncios[[#This Row],[frete]]) / (1 - fact_anuncios[[#This Row],[perc_comissao]])</f>
        <v>398.13447927199184</v>
      </c>
      <c r="S165" s="9">
        <f>(fact_anuncios[[#This Row],[valor_min_produto]] + fact_anuncios[[#This Row],[frete]]) / (1 - fact_anuncios[[#This Row],[perc_comissao]])</f>
        <v>368.48372093023249</v>
      </c>
      <c r="T165" s="9">
        <f>fact_anuncios[[#This Row],[atacado_1]] * 1.0254</f>
        <v>377.84320744186044</v>
      </c>
      <c r="U165" s="1" t="s">
        <v>4</v>
      </c>
    </row>
    <row r="166" spans="1:21" x14ac:dyDescent="0.3">
      <c r="A166" s="1">
        <v>1089</v>
      </c>
      <c r="B166" s="2" t="s">
        <v>155</v>
      </c>
      <c r="C166" s="2" t="s">
        <v>429</v>
      </c>
      <c r="D166" s="6" t="s">
        <v>520</v>
      </c>
      <c r="E166" s="1">
        <v>25</v>
      </c>
      <c r="F166" s="8">
        <v>12.347200000000001</v>
      </c>
      <c r="G166" s="8">
        <f>fact_anuncios[[#This Row],[preco_unit]]*(1-fact_anuncios[[#This Row],[perc_desconto_min]])</f>
        <v>11.729839999999999</v>
      </c>
      <c r="H166" s="8">
        <f>fact_anuncios[[#This Row],[preco_unit]]*fact_anuncios[[#This Row],[quantidade_anuncio]]</f>
        <v>308.68</v>
      </c>
      <c r="I166" s="1">
        <v>0.05</v>
      </c>
      <c r="J166" s="8">
        <f>fact_anuncios[[#This Row],[preco_min_unit]]*fact_anuncios[[#This Row],[quantidade_anuncio]]</f>
        <v>293.24599999999998</v>
      </c>
      <c r="K166" s="1" t="s">
        <v>18</v>
      </c>
      <c r="L166" s="1">
        <v>0.14000000000000001</v>
      </c>
      <c r="M166" s="9">
        <f>fact_anuncios[[#This Row],[preco_sugerido]]*fact_anuncios[[#This Row],[perc_comissao]]</f>
        <v>55.738827098078865</v>
      </c>
      <c r="N166" s="9">
        <v>23.65</v>
      </c>
      <c r="O166" s="4">
        <v>0.08</v>
      </c>
      <c r="P166" s="9">
        <f>fact_anuncios[[#This Row],[valor_tipo]]+fact_anuncios[[#This Row],[frete]]</f>
        <v>79.388827098078863</v>
      </c>
      <c r="Q166" s="9">
        <f>(fact_anuncios[[#This Row],[valor_tipo]]+fact_anuncios[[#This Row],[frete]])*(1+fact_anuncios[[#This Row],[markup_promo]])</f>
        <v>85.739933265925174</v>
      </c>
      <c r="R166" s="9">
        <f>((fact_anuncios[[#This Row],[valor_min_produto]] / (1-fact_anuncios[[#This Row],[markup_promo]])) +fact_anuncios[[#This Row],[frete]]) / (1 - fact_anuncios[[#This Row],[perc_comissao]])</f>
        <v>398.13447927199184</v>
      </c>
      <c r="S166" s="9">
        <f>(fact_anuncios[[#This Row],[valor_min_produto]] + fact_anuncios[[#This Row],[frete]]) / (1 - fact_anuncios[[#This Row],[perc_comissao]])</f>
        <v>368.48372093023249</v>
      </c>
      <c r="T166" s="9">
        <f>fact_anuncios[[#This Row],[atacado_1]] * 1.0254</f>
        <v>377.84320744186044</v>
      </c>
      <c r="U166" s="1" t="s">
        <v>4</v>
      </c>
    </row>
    <row r="167" spans="1:21" x14ac:dyDescent="0.3">
      <c r="A167">
        <v>1091</v>
      </c>
      <c r="B167" s="2" t="s">
        <v>292</v>
      </c>
      <c r="C167" s="2" t="s">
        <v>430</v>
      </c>
      <c r="D167" s="6" t="s">
        <v>521</v>
      </c>
      <c r="E167">
        <v>1</v>
      </c>
      <c r="F167" s="8">
        <v>2758</v>
      </c>
      <c r="G167" s="8">
        <f>fact_anuncios[[#This Row],[preco_unit]]*(1-fact_anuncios[[#This Row],[perc_desconto_min]])</f>
        <v>2757.7242000000001</v>
      </c>
      <c r="H167" s="8">
        <f>fact_anuncios[[#This Row],[preco_unit]]*fact_anuncios[[#This Row],[quantidade_anuncio]]</f>
        <v>2758</v>
      </c>
      <c r="I167" s="1">
        <v>1E-4</v>
      </c>
      <c r="J167" s="8">
        <f>fact_anuncios[[#This Row],[preco_min_unit]]*fact_anuncios[[#This Row],[quantidade_anuncio]]</f>
        <v>2757.7242000000001</v>
      </c>
      <c r="K167" t="s">
        <v>18</v>
      </c>
      <c r="L167">
        <v>0.17</v>
      </c>
      <c r="M167" s="9">
        <f>fact_anuncios[[#This Row],[preco_sugerido]]*fact_anuncios[[#This Row],[perc_comissao]]</f>
        <v>635.65177317967527</v>
      </c>
      <c r="N167" s="9">
        <v>105.95</v>
      </c>
      <c r="O167" s="4">
        <v>0.08</v>
      </c>
      <c r="P167" s="9">
        <f>fact_anuncios[[#This Row],[valor_tipo]]+fact_anuncios[[#This Row],[frete]]</f>
        <v>741.60177317967532</v>
      </c>
      <c r="Q167" s="9">
        <f>(fact_anuncios[[#This Row],[valor_tipo]]+fact_anuncios[[#This Row],[frete]])*(1+fact_anuncios[[#This Row],[markup_promo]])</f>
        <v>800.92991503404937</v>
      </c>
      <c r="R167" s="9">
        <f>((fact_anuncios[[#This Row],[valor_min_produto]] / (1-fact_anuncios[[#This Row],[markup_promo]])) +fact_anuncios[[#This Row],[frete]]) / (1 - fact_anuncios[[#This Row],[perc_comissao]])</f>
        <v>3739.1280775275013</v>
      </c>
      <c r="S167" s="9">
        <f>(fact_anuncios[[#This Row],[valor_min_produto]] + fact_anuncios[[#This Row],[frete]]) / (1 - fact_anuncios[[#This Row],[perc_comissao]])</f>
        <v>3450.2098795180723</v>
      </c>
      <c r="T167" s="9">
        <f>fact_anuncios[[#This Row],[atacado_1]] * 1.0254</f>
        <v>3537.8452104578319</v>
      </c>
      <c r="U167" s="1" t="s">
        <v>25</v>
      </c>
    </row>
  </sheetData>
  <phoneticPr fontId="3" type="noConversion"/>
  <hyperlinks>
    <hyperlink ref="D8" r:id="rId1" xr:uid="{627BA7C5-1C84-420F-AD2F-B5ECA79D8194}"/>
    <hyperlink ref="D8:D12" r:id="rId2" display="https://http2.mlstatic.com/D_824421-MLB95390877884_102025-I.jpg" xr:uid="{E51E160E-A990-46F2-B162-7B8B55A73D0F}"/>
    <hyperlink ref="D94" r:id="rId3" xr:uid="{A60B4C25-0882-4656-9CC6-C0461F221D12}"/>
    <hyperlink ref="D165" r:id="rId4" xr:uid="{186B4EAF-6CBB-410F-AA2A-2D7D72BA075D}"/>
    <hyperlink ref="D166" r:id="rId5" xr:uid="{B51F00CD-3696-49E7-B627-E320835A9514}"/>
    <hyperlink ref="D147" r:id="rId6" xr:uid="{0A2C1996-58CC-4232-A98C-3392D2033BF4}"/>
    <hyperlink ref="D108" r:id="rId7" xr:uid="{CD672188-C5FC-4C21-98BB-2F87D43A1A9D}"/>
    <hyperlink ref="D109" r:id="rId8" xr:uid="{A2D93FA3-5BC3-4E62-B15F-673C25842C2A}"/>
    <hyperlink ref="D110" r:id="rId9" xr:uid="{D2096B7D-E60D-4196-9A51-CA007F766447}"/>
    <hyperlink ref="D111" r:id="rId10" xr:uid="{C22D4C25-EBD2-4531-BDA5-02A0EC659431}"/>
    <hyperlink ref="D76" r:id="rId11" xr:uid="{91EA3138-9DD2-49EF-9F4E-77FFF47E4333}"/>
    <hyperlink ref="D48" r:id="rId12" xr:uid="{507B9F4E-60F5-41B5-A61F-858274202B57}"/>
    <hyperlink ref="D65" r:id="rId13" xr:uid="{70804D46-4D9E-471A-81DA-6539D54E425B}"/>
    <hyperlink ref="D99" r:id="rId14" xr:uid="{A4278062-07E4-40EC-8448-3D425BE3D341}"/>
    <hyperlink ref="D159" r:id="rId15" xr:uid="{869E3F14-6EFD-4068-80CF-D9380D7A50FD}"/>
    <hyperlink ref="D69" r:id="rId16" xr:uid="{EAED1D1E-B7F6-4A4A-ADC4-EF84DF092E01}"/>
    <hyperlink ref="D27" r:id="rId17" xr:uid="{4BCFBF5E-D9D0-41A8-95FF-8D276BF72ADC}"/>
    <hyperlink ref="D105" r:id="rId18" xr:uid="{C5F79581-F0E9-447D-ADE4-82D50C605D71}"/>
    <hyperlink ref="D67" r:id="rId19" xr:uid="{70B9DD1D-B5A8-434A-BD1C-EE81758CEBF0}"/>
    <hyperlink ref="D144" r:id="rId20" xr:uid="{B958835B-A610-4E21-8208-7581FF3A3BA2}"/>
    <hyperlink ref="D160" r:id="rId21" xr:uid="{6C523FD3-B5D0-4EBF-ACB6-4FE4D0F72390}"/>
    <hyperlink ref="D161" r:id="rId22" xr:uid="{4BB31DF1-173F-4DE8-979E-D2F6F8DF4574}"/>
    <hyperlink ref="D141" r:id="rId23" xr:uid="{7F715397-23FB-4758-A1DA-7E4D78E35525}"/>
    <hyperlink ref="D55:D56" r:id="rId24" display="https://http2.mlstatic.com/D_NQ_NP_2X_873871-MLB105313912436_012026-F.webp" xr:uid="{33DC30FA-AC53-4463-90E8-0399A3B2BFA0}"/>
    <hyperlink ref="D51" r:id="rId25" xr:uid="{EA23600D-DA95-4354-AB39-A760F618E54F}"/>
    <hyperlink ref="D162" r:id="rId26" xr:uid="{C01934EB-24FF-4E0C-A5F3-3C7ABE004A01}"/>
    <hyperlink ref="D61:D62" r:id="rId27" display="https://http2.mlstatic.com/D_NQ_NP_2X_927804-MLB108371976647_032026-F.webp" xr:uid="{DE4D6A89-D0DA-4041-BF8B-3976B2095957}"/>
    <hyperlink ref="D64:D65" r:id="rId28" display="https://http2.mlstatic.com/D_NQ_NP_2X_684967-MLB104699512970_012026-F.webp" xr:uid="{985E81B3-FB23-4C6E-B09F-5C8D908230F4}"/>
    <hyperlink ref="D49" r:id="rId29" xr:uid="{757CD9AD-346E-4E5B-984B-6C52D656A29C}"/>
    <hyperlink ref="D102" r:id="rId30" xr:uid="{0812A3F9-FBDE-41B1-B149-17A5F02A7018}"/>
    <hyperlink ref="D68" r:id="rId31" xr:uid="{CBCD96C1-A3AB-48FB-A8F2-5D856F9B7B40}"/>
    <hyperlink ref="D83" r:id="rId32" xr:uid="{63645D5B-DB3B-43FB-A8B7-CA6FA81BB1DE}"/>
    <hyperlink ref="D74:D83" r:id="rId33" display="https://http2.mlstatic.com/D_NQ_NP_2X_838828-MLB105406580388_012026-F.webp" xr:uid="{04ECA507-88F7-4D2A-B2BB-DC6A0FC47DFA}"/>
    <hyperlink ref="D24" r:id="rId34" xr:uid="{3C60115E-6D1C-4CA9-BD92-54AE604EA5DC}"/>
    <hyperlink ref="D25" r:id="rId35" xr:uid="{33AC0E6E-A6DF-490E-9884-55EAC240538A}"/>
    <hyperlink ref="D93:D94" r:id="rId36" display="https://http2.mlstatic.com/D_NQ_NP_660519-MLB105314998184_012026-OO.jpg" xr:uid="{3E1BD6E0-2CC5-4FEE-9BC5-8688E9E1C78F}"/>
    <hyperlink ref="D150" r:id="rId37" xr:uid="{3E6A3DB9-664A-4BBA-B049-10161BC84F39}"/>
    <hyperlink ref="D151" r:id="rId38" xr:uid="{607B1FE7-D585-42EF-90CF-EFE3EAA3EF70}"/>
    <hyperlink ref="D72" r:id="rId39" xr:uid="{DB773FFA-DC3A-4313-B7A6-1913C817841B}"/>
    <hyperlink ref="D73" r:id="rId40" xr:uid="{2EF53B51-C42A-4F0A-84F1-BEE1AA3D360E}"/>
    <hyperlink ref="D106" r:id="rId41" xr:uid="{257DD3C9-8D53-43F3-AC54-ED77B23967B3}"/>
    <hyperlink ref="D128" r:id="rId42" xr:uid="{C462C47C-57B2-4F0D-BFFC-30A6C0F28183}"/>
    <hyperlink ref="D61" r:id="rId43" xr:uid="{5470096D-DEF1-4699-BF09-54962BB8F764}"/>
    <hyperlink ref="D62" r:id="rId44" xr:uid="{6CC1851D-808B-4AF5-8D12-08FD87B97CE1}"/>
    <hyperlink ref="D18" r:id="rId45" xr:uid="{D0C6D9F0-F537-4ABB-B1D5-F104CA2701DF}"/>
    <hyperlink ref="D19" r:id="rId46" xr:uid="{1C87F7E5-9EFC-40BA-B23D-7F7DE492941D}"/>
    <hyperlink ref="D2" r:id="rId47" xr:uid="{B4353F4F-D444-401A-A561-DEDDDEFE731D}"/>
    <hyperlink ref="D110:D111" r:id="rId48" display="https://http2.mlstatic.com/D_NQ_NP_2X_812128-MLB91260322462_092025-F.webp" xr:uid="{35F2F593-D7C0-43FA-B00F-9E984AC7437D}"/>
    <hyperlink ref="D74" r:id="rId49" xr:uid="{CE977838-D514-4758-9989-C62C1092BE16}"/>
    <hyperlink ref="D75" r:id="rId50" xr:uid="{4E262FCC-59C8-43AB-B95A-4CF74AC49152}"/>
    <hyperlink ref="D35" r:id="rId51" xr:uid="{904BDDDA-B519-4E95-A030-C63AD1543007}"/>
    <hyperlink ref="D134" r:id="rId52" xr:uid="{031689DB-1E80-4C9A-9606-C941E365CB8A}"/>
    <hyperlink ref="D134:D136" r:id="rId53" display="https://http2.mlstatic.com/D_NQ_NP_2X_737049-MLA96419081201_102025-F.webp" xr:uid="{E92304F4-F358-405F-B8A3-4BA887216771}"/>
    <hyperlink ref="D44" r:id="rId54" xr:uid="{405919C3-B172-4E41-B5E1-DA164F8AE0A3}"/>
    <hyperlink ref="D45" r:id="rId55" xr:uid="{79DC5065-4F06-409D-8677-8B858DD2B3C1}"/>
    <hyperlink ref="D46" r:id="rId56" xr:uid="{6ECC9D6A-736F-4A68-9C0F-8EE0BEEF757B}"/>
    <hyperlink ref="D152" r:id="rId57" xr:uid="{ED38B2C1-C636-4F10-9139-A32D6A3E45AF}"/>
    <hyperlink ref="D143:D145" r:id="rId58" display="https://http2.mlstatic.com/D_NQ_NP_2X_687675-MLA99990297861_112025-F.webp" xr:uid="{447EE777-4A17-4F32-8CE4-F04815476AAD}"/>
    <hyperlink ref="D54" r:id="rId59" xr:uid="{95B3E518-E149-4C4F-BC51-D00904BDB41E}"/>
    <hyperlink ref="D147:D150" r:id="rId60" display="https://http2.mlstatic.com/D_NQ_NP_2X_752507-MLA99533173362_122025-F.webp" xr:uid="{2A62EC79-81CF-4381-9AC9-760EAAA61F61}"/>
    <hyperlink ref="D138" r:id="rId61" xr:uid="{811ECC81-A76B-4F6B-BB48-2AE6732FB19B}"/>
    <hyperlink ref="D63" r:id="rId62" xr:uid="{EDB773E3-3F39-4BC5-BAFE-A4AAF1A9F311}"/>
    <hyperlink ref="D64" r:id="rId63" xr:uid="{C7C0ECB1-D7F0-4FE4-B8C3-2B8581E41810}"/>
    <hyperlink ref="D167" r:id="rId64" xr:uid="{1DAC6C87-945B-451B-9571-C9773E52604D}"/>
    <hyperlink ref="D145" r:id="rId65" xr:uid="{FA13A85C-C0C3-4710-9E41-FFC9163620BB}"/>
    <hyperlink ref="D133" r:id="rId66" xr:uid="{90E5A8B0-D968-44F6-A391-44C6E5934794}"/>
    <hyperlink ref="D115" r:id="rId67" xr:uid="{A8EFD7EA-64EF-4103-80FD-4F6AC0D62AB0}"/>
    <hyperlink ref="D118" r:id="rId68" xr:uid="{1ABC2D82-DF47-4663-9558-41C554DF8A34}"/>
    <hyperlink ref="D129" r:id="rId69" xr:uid="{8743DB88-4A0E-4D4E-AB8E-9119241A45BB}"/>
    <hyperlink ref="D127" r:id="rId70" xr:uid="{00F5C0AB-5808-4FEA-9EE5-F0FA221195A0}"/>
    <hyperlink ref="D60" r:id="rId71" xr:uid="{8417683D-4A77-487A-962A-6A38F03D5262}"/>
    <hyperlink ref="D82" r:id="rId72" xr:uid="{20C6C344-DB6E-4E79-90C2-D7A9F3006D7A}"/>
    <hyperlink ref="D33" r:id="rId73" xr:uid="{8C0B4A76-52F9-4523-8070-472691BE30BA}"/>
    <hyperlink ref="D156" r:id="rId74" xr:uid="{6CB3331D-D96C-4D01-9212-A6624F902339}"/>
    <hyperlink ref="D42" r:id="rId75" xr:uid="{3526133A-1273-4F51-B7F6-08A241E34ED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76"/>
  <tableParts count="1">
    <tablePart r:id="rId7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983C24-DD63-4753-AB14-440F9D2BE5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dim_produtos</vt:lpstr>
      <vt:lpstr>fact_estoque</vt:lpstr>
      <vt:lpstr>fact_anuncios</vt:lpstr>
      <vt:lpstr>dim_produtos</vt:lpstr>
      <vt:lpstr>dimensão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keywords>Matheus Guimaraes</cp:keywords>
  <cp:lastModifiedBy>Marketing Ferrasoldas</cp:lastModifiedBy>
  <dcterms:created xsi:type="dcterms:W3CDTF">2026-05-28T20:28:51Z</dcterms:created>
  <dcterms:modified xsi:type="dcterms:W3CDTF">2026-07-22T17:38:36Z</dcterms:modified>
</cp:coreProperties>
</file>